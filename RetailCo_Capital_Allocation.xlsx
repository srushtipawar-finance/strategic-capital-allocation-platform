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Investment_Data" sheetId="3" state="visible" r:id="rId5"/>
    <sheet name="DCF_Model" sheetId="4" state="visible" r:id="rId6"/>
    <sheet name="NPV_IRR_Summary" sheetId="5" state="visible" r:id="rId7"/>
    <sheet name="Payback_ROI" sheetId="6" state="visible" r:id="rId8"/>
    <sheet name="Advanced_KPIs" sheetId="7" state="visible" r:id="rId9"/>
    <sheet name="Sensitivity_Analysis" sheetId="8" state="visible" r:id="rId10"/>
    <sheet name="Scenario_Analysis" sheetId="9" state="visible" r:id="rId11"/>
    <sheet name="Portfolio_Optimisation" sheetId="10" state="visible" r:id="rId12"/>
    <sheet name="Risk_Scoring" sheetId="11" state="visible" r:id="rId13"/>
    <sheet name="Executive_Dashboard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<sst xmlns="http://schemas.openxmlformats.org/spreadsheetml/2006/main" count="421" uniqueCount="190">
  <si>
    <t xml:space="preserve">RetailCo — AI-Enabled Strategic Capital Allocation Platform</t>
  </si>
  <si>
    <t xml:space="preserve">FY2024  |  $5,000,000 Capital Budget  |  Strategic Finance Division</t>
  </si>
  <si>
    <t xml:space="preserve">PREPARED BY:</t>
  </si>
  <si>
    <t xml:space="preserve">Srushti Mahant Pawar</t>
  </si>
  <si>
    <t xml:space="preserve">ROLE:</t>
  </si>
  <si>
    <t xml:space="preserve">Strategic Finance Analyst (Simulated)</t>
  </si>
  <si>
    <t xml:space="preserve">DATE:</t>
  </si>
  <si>
    <t xml:space="preserve">07-Jun-2026</t>
  </si>
  <si>
    <t xml:space="preserve">TOOLS:</t>
  </si>
  <si>
    <t xml:space="preserve">Excel  ·  SQL  ·  Python  ·  Power BI  ·  Word</t>
  </si>
  <si>
    <t xml:space="preserve">PROJECT SCOPE</t>
  </si>
  <si>
    <t xml:space="preserve">Capital Budget ($):</t>
  </si>
  <si>
    <t xml:space="preserve">Investments Evaluated:</t>
  </si>
  <si>
    <t xml:space="preserve">8 Projects</t>
  </si>
  <si>
    <t xml:space="preserve">Total Pipeline Cost ($):</t>
  </si>
  <si>
    <t xml:space="preserve">Projection Period:</t>
  </si>
  <si>
    <t xml:space="preserve">5 Years</t>
  </si>
  <si>
    <t xml:space="preserve">Discount Rate (WACC):</t>
  </si>
  <si>
    <t xml:space="preserve">METHODOLOGY SUMMARY</t>
  </si>
  <si>
    <t xml:space="preserve">This model uses DCF Analysis, NPV, IRR, Profitability Index, Risk-Adjusted NPV, Composite Risk Scoring, Scenario Analysis, Sensitivity Analysis, Monte Carlo Simulation (5,000 runs × 8 investments = 40,000 simulations), and Brute-Force Portfolio Optimisation (255 combinations tested) to identify the optimal investment portfolio under the $5M capital constraint.</t>
  </si>
  <si>
    <t xml:space="preserve">MODEL ASSUMPTIONS — RetailCo Strategic Finance</t>
  </si>
  <si>
    <t xml:space="preserve">GLOBAL ASSUMPTIONS</t>
  </si>
  <si>
    <t xml:space="preserve">WACC (Discount Rate)</t>
  </si>
  <si>
    <t xml:space="preserve">Corporate Tax Rate</t>
  </si>
  <si>
    <t xml:space="preserve">Projection Years</t>
  </si>
  <si>
    <t xml:space="preserve">Capital Budget ($)</t>
  </si>
  <si>
    <t xml:space="preserve">Risk-Free Rate</t>
  </si>
  <si>
    <t xml:space="preserve">SENSITIVITY TEST RANGES</t>
  </si>
  <si>
    <t xml:space="preserve">Revenue Growth — Bear</t>
  </si>
  <si>
    <t xml:space="preserve">Revenue Growth — Base</t>
  </si>
  <si>
    <t xml:space="preserve">Revenue Growth — Bull</t>
  </si>
  <si>
    <t xml:space="preserve">Cost Inflation — Low</t>
  </si>
  <si>
    <t xml:space="preserve">Cost Inflation — Mid</t>
  </si>
  <si>
    <t xml:space="preserve">Cost Inflation — High</t>
  </si>
  <si>
    <t xml:space="preserve">WACC Test — Low</t>
  </si>
  <si>
    <t xml:space="preserve">WACC Test — Mid</t>
  </si>
  <si>
    <t xml:space="preserve">WACC Test — High</t>
  </si>
  <si>
    <t xml:space="preserve">RISK SCORE WEIGHTS</t>
  </si>
  <si>
    <t xml:space="preserve">Volatility Weight</t>
  </si>
  <si>
    <t xml:space="preserve">Capital Requirement Weight</t>
  </si>
  <si>
    <t xml:space="preserve">Payback Period Weight</t>
  </si>
  <si>
    <t xml:space="preserve">ID</t>
  </si>
  <si>
    <t xml:space="preserve">Investment Name</t>
  </si>
  <si>
    <t xml:space="preserve">Cost ($)</t>
  </si>
  <si>
    <t xml:space="preserve">Yr1 CF ($)</t>
  </si>
  <si>
    <t xml:space="preserve">Yr2 CF ($)</t>
  </si>
  <si>
    <t xml:space="preserve">Yr3 CF ($)</t>
  </si>
  <si>
    <t xml:space="preserve">Yr4 CF ($)</t>
  </si>
  <si>
    <t xml:space="preserve">Yr5 CF ($)</t>
  </si>
  <si>
    <t xml:space="preserve">Risk Level</t>
  </si>
  <si>
    <t xml:space="preserve">Category</t>
  </si>
  <si>
    <t xml:space="preserve">New Store Expansion</t>
  </si>
  <si>
    <t xml:space="preserve">High</t>
  </si>
  <si>
    <t xml:space="preserve">Physical Growth</t>
  </si>
  <si>
    <t xml:space="preserve">E-Commerce Platform</t>
  </si>
  <si>
    <t xml:space="preserve">Medium</t>
  </si>
  <si>
    <t xml:space="preserve">Digital</t>
  </si>
  <si>
    <t xml:space="preserve">New Product Line</t>
  </si>
  <si>
    <t xml:space="preserve">Product</t>
  </si>
  <si>
    <t xml:space="preserve">Geographic Expansion</t>
  </si>
  <si>
    <t xml:space="preserve">Market Entry</t>
  </si>
  <si>
    <t xml:space="preserve">Warehouse Automation</t>
  </si>
  <si>
    <t xml:space="preserve">Low</t>
  </si>
  <si>
    <t xml:space="preserve">Operations</t>
  </si>
  <si>
    <t xml:space="preserve">Customer Loyalty Prog</t>
  </si>
  <si>
    <t xml:space="preserve">Marketing</t>
  </si>
  <si>
    <t xml:space="preserve">Mobile App Investment</t>
  </si>
  <si>
    <t xml:space="preserve">Strategic Acquisition</t>
  </si>
  <si>
    <t xml:space="preserve">Very High</t>
  </si>
  <si>
    <t xml:space="preserve">M&amp;A</t>
  </si>
  <si>
    <t xml:space="preserve">TOTALS</t>
  </si>
  <si>
    <t xml:space="preserve">DCF Model — All 8 Investments</t>
  </si>
  <si>
    <t xml:space="preserve">INVESTMENT 1: New Store Expansion</t>
  </si>
  <si>
    <t xml:space="preserve">Year</t>
  </si>
  <si>
    <t xml:space="preserve">Cash Flow ($)</t>
  </si>
  <si>
    <t xml:space="preserve">Discount Factor</t>
  </si>
  <si>
    <t xml:space="preserve">Present Value ($)</t>
  </si>
  <si>
    <t xml:space="preserve">NPV:</t>
  </si>
  <si>
    <t xml:space="preserve">IRR:</t>
  </si>
  <si>
    <t xml:space="preserve">PV of Inflows (for PI):</t>
  </si>
  <si>
    <t xml:space="preserve">INVESTMENT 2: E-Commerce Platform</t>
  </si>
  <si>
    <t xml:space="preserve">INVESTMENT 3: New Product Line</t>
  </si>
  <si>
    <t xml:space="preserve">INVESTMENT 4: Geographic Expansion</t>
  </si>
  <si>
    <t xml:space="preserve">INVESTMENT 5: Warehouse Automation</t>
  </si>
  <si>
    <t xml:space="preserve">INVESTMENT 6: Customer Loyalty Prog</t>
  </si>
  <si>
    <t xml:space="preserve">INVESTMENT 7: Mobile App Investment</t>
  </si>
  <si>
    <t xml:space="preserve">INVESTMENT 8: Strategic Acquisition</t>
  </si>
  <si>
    <t xml:space="preserve">NPV &amp; IRR Summary — RetailCo Capital Allocation</t>
  </si>
  <si>
    <t xml:space="preserve">NPV ($)</t>
  </si>
  <si>
    <t xml:space="preserve">IRR (%)</t>
  </si>
  <si>
    <t xml:space="preserve">NPV Rank</t>
  </si>
  <si>
    <t xml:space="preserve">IRR Rank</t>
  </si>
  <si>
    <t xml:space="preserve">vs WACC (%)</t>
  </si>
  <si>
    <t xml:space="preserve">Decision</t>
  </si>
  <si>
    <t xml:space="preserve">REJECT ✗</t>
  </si>
  <si>
    <t xml:space="preserve">INVEST ✓</t>
  </si>
  <si>
    <t xml:space="preserve">SUMMARY STATISTICS</t>
  </si>
  <si>
    <t xml:space="preserve">Highest NPV Investment:</t>
  </si>
  <si>
    <t xml:space="preserve">Best IRR Investment:</t>
  </si>
  <si>
    <t xml:space="preserve">Total NPV (all 8):</t>
  </si>
  <si>
    <t xml:space="preserve">INVEST count:</t>
  </si>
  <si>
    <t xml:space="preserve">REJECT count:</t>
  </si>
  <si>
    <t xml:space="preserve">Payback Period &amp; ROI Analysis</t>
  </si>
  <si>
    <t xml:space="preserve">PAYBACK PERIOD SUMMARY</t>
  </si>
  <si>
    <t xml:space="preserve">Investment</t>
  </si>
  <si>
    <t xml:space="preserve">Payback (Years)</t>
  </si>
  <si>
    <t xml:space="preserve">Verdict</t>
  </si>
  <si>
    <t xml:space="preserve">Slow — &gt;4 years</t>
  </si>
  <si>
    <t xml:space="preserve">Acceptable</t>
  </si>
  <si>
    <t xml:space="preserve">PAYBACK DETAIL — New Store Expansion</t>
  </si>
  <si>
    <t xml:space="preserve">Cumulative ($)</t>
  </si>
  <si>
    <t xml:space="preserve">Status</t>
  </si>
  <si>
    <t xml:space="preserve">Not Recovered</t>
  </si>
  <si>
    <t xml:space="preserve">Recovered</t>
  </si>
  <si>
    <t xml:space="preserve">ROI ANALYSIS TABLE</t>
  </si>
  <si>
    <t xml:space="preserve">Total 5-Yr Inflows ($)</t>
  </si>
  <si>
    <t xml:space="preserve">Net Profit ($)</t>
  </si>
  <si>
    <t xml:space="preserve">ROI (%)</t>
  </si>
  <si>
    <t xml:space="preserve">Advanced Capital Allocation KPIs</t>
  </si>
  <si>
    <t xml:space="preserve">Profitability Index · NPV per Dollar Invested · Risk-Adjusted NPV  (Blue = input  |  Black = formula  |  Green = cross-sheet link)</t>
  </si>
  <si>
    <t xml:space="preserve">Profitability Index</t>
  </si>
  <si>
    <t xml:space="preserve">NPV / $ Invested</t>
  </si>
  <si>
    <t xml:space="preserve">Risk Score</t>
  </si>
  <si>
    <t xml:space="preserve">Risk-Adj NPV ($)</t>
  </si>
  <si>
    <t xml:space="preserve">PI Rank</t>
  </si>
  <si>
    <t xml:space="preserve">NPV/$ Rank</t>
  </si>
  <si>
    <t xml:space="preserve">Risk-Adj Rank</t>
  </si>
  <si>
    <t xml:space="preserve">KEY INSIGHT: RISK-ADJUSTED RANKINGS</t>
  </si>
  <si>
    <t xml:space="preserve">Best Profitability Index (PI):</t>
  </si>
  <si>
    <t xml:space="preserve">Best NPV per Dollar Invested:</t>
  </si>
  <si>
    <t xml:space="preserve">Best Risk-Adjusted NPV:</t>
  </si>
  <si>
    <t xml:space="preserve">Sensitivity Analysis — NPV Impact by Variable Changes</t>
  </si>
  <si>
    <t xml:space="preserve">SECTION 1: WACC SENSITIVITY  (Revenue = Base, Costs = Base)</t>
  </si>
  <si>
    <t xml:space="preserve">WACC Level</t>
  </si>
  <si>
    <t xml:space="preserve">New Store</t>
  </si>
  <si>
    <t xml:space="preserve">E-Commerce</t>
  </si>
  <si>
    <t xml:space="preserve">New Product</t>
  </si>
  <si>
    <t xml:space="preserve">Geo Expand</t>
  </si>
  <si>
    <t xml:space="preserve">Warehouse</t>
  </si>
  <si>
    <t xml:space="preserve">Loyalty</t>
  </si>
  <si>
    <t xml:space="preserve">Mobile App</t>
  </si>
  <si>
    <t xml:space="preserve">Acquisition</t>
  </si>
  <si>
    <t xml:space="preserve">SECTION 2: REVENUE GROWTH SENSITIVITY  (WACC = Base = 10%)</t>
  </si>
  <si>
    <t xml:space="preserve">Rev Growth</t>
  </si>
  <si>
    <t xml:space="preserve">Scenario Analysis — Bear / Base / Bull Cases</t>
  </si>
  <si>
    <t xml:space="preserve">Scenario</t>
  </si>
  <si>
    <t xml:space="preserve">Rev Mult</t>
  </si>
  <si>
    <t xml:space="preserve">Yr1 ($)</t>
  </si>
  <si>
    <t xml:space="preserve">Yr2 ($)</t>
  </si>
  <si>
    <t xml:space="preserve">Yr3 ($)</t>
  </si>
  <si>
    <t xml:space="preserve">Yr4 ($)</t>
  </si>
  <si>
    <t xml:space="preserve">Yr5 ($)</t>
  </si>
  <si>
    <t xml:space="preserve">Bear </t>
  </si>
  <si>
    <t xml:space="preserve">Base</t>
  </si>
  <si>
    <t xml:space="preserve">Bull</t>
  </si>
  <si>
    <t xml:space="preserve">Bear</t>
  </si>
  <si>
    <t xml:space="preserve">Portfolio Optimisation — Capital Constraint Analysis</t>
  </si>
  <si>
    <t xml:space="preserve">Brute-force optimiser tested all 255 investment combinations. Budget: $5,000,000.</t>
  </si>
  <si>
    <t xml:space="preserve">Available Budget ($):</t>
  </si>
  <si>
    <t xml:space="preserve">Optimiser Method:</t>
  </si>
  <si>
    <t xml:space="preserve">Brute-Force (255 combinations tested)</t>
  </si>
  <si>
    <t xml:space="preserve">OPTIMAL PORTFOLIO — Brute-Force Results (255 Combinations Tested)</t>
  </si>
  <si>
    <t xml:space="preserve">Include?</t>
  </si>
  <si>
    <t xml:space="preserve">NO</t>
  </si>
  <si>
    <t xml:space="preserve">YES</t>
  </si>
  <si>
    <t xml:space="preserve">PORTFOLIO TOTALS</t>
  </si>
  <si>
    <t xml:space="preserve">Total Cost ($):</t>
  </si>
  <si>
    <t xml:space="preserve">Total NPV ($):</t>
  </si>
  <si>
    <t xml:space="preserve">Budget Remaining ($):</t>
  </si>
  <si>
    <t xml:space="preserve">Budget Utilisation:</t>
  </si>
  <si>
    <t xml:space="preserve">Valid Portfolio?:</t>
  </si>
  <si>
    <t xml:space="preserve">✓ YES — Within Budget</t>
  </si>
  <si>
    <t xml:space="preserve">Risk Score Model — Composite Risk Rating</t>
  </si>
  <si>
    <t xml:space="preserve">Score 1–10: 1 = Lowest Risk, 10 = Highest Risk  |  Formula: 40% Volatility + 30% Capital Requirement + 30% Payback Period</t>
  </si>
  <si>
    <t xml:space="preserve">Raw Capital ($)</t>
  </si>
  <si>
    <t xml:space="preserve">Raw Payback (yrs)</t>
  </si>
  <si>
    <t xml:space="preserve">Capital Score</t>
  </si>
  <si>
    <t xml:space="preserve">Payback Score</t>
  </si>
  <si>
    <t xml:space="preserve">Vol Score</t>
  </si>
  <si>
    <t xml:space="preserve">COMPOSITE RISK</t>
  </si>
  <si>
    <t xml:space="preserve">Risk Rank</t>
  </si>
  <si>
    <t xml:space="preserve">RETAILCO — STRATEGIC CAPITAL ALLOCATION DECISION DASHBOARD</t>
  </si>
  <si>
    <t xml:space="preserve">FY2024  |  Strategic Finance Analysis  |  Prepared by Srushti Mahant Pawar</t>
  </si>
  <si>
    <t xml:space="preserve">CAPITAL BUDGET ($)</t>
  </si>
  <si>
    <t xml:space="preserve">OPTIMAL PORTFOLIO NPV ($)</t>
  </si>
  <si>
    <t xml:space="preserve">PROJECTS RECOMMENDED</t>
  </si>
  <si>
    <t xml:space="preserve">BUDGET UTILISATION</t>
  </si>
  <si>
    <t xml:space="preserve">INVESTMENT ANALYSIS DATA TABLE</t>
  </si>
  <si>
    <t xml:space="preserve">Payback (yrs)</t>
  </si>
  <si>
    <t xml:space="preserve">Optimal Portfolio Investment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</si>
</sst>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\$#,##0;&quot;($&quot;#,##0\);\-"/>
    <numFmt numFmtId="166" formatCode="0.0%;\(0.0%\);\-"/>
    <numFmt numFmtId="167" formatCode="#,##0;\(#,##0\);\-"/>
    <numFmt numFmtId="168" formatCode="0.0000"/>
    <numFmt numFmtId="169" formatCode="0.00%;\(0.00%\);\-"/>
    <numFmt numFmtId="170" formatCode="#,##0.0;\(#,##0.0\);\-"/>
    <numFmt numFmtId="171" formatCode="0.000;\(0.000\);\-"/>
    <numFmt numFmtId="172" formatCode="0.0000;\(0.0000\);\-"/>
    <numFmt numFmtId="173" formatCode="#,##0.00;\(#,##0.00\);\-"/>
    <numFmt numFmtId="174" formatCode="0.0%;\(0.0%\);\-"/>
    <numFmt numFmtId="175" formatCode="\$#,##0;&quot;($&quot;#,##0\);\-"/>
    <numFmt numFmtId="176" formatCode="0.0%"/>
    <numFmt numFmtId="177" formatCode="#,##0.00;\(#,##0.00\);\-"/>
    <numFmt numFmtId="178" formatCode="#,##0"/>
    <numFmt numFmtId="179" formatCode="#,##0.0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i val="true"/>
      <sz val="12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b val="true"/>
      <sz val="10"/>
      <color rgb="FFC65911"/>
      <name val="Calibri"/>
      <family val="0"/>
      <charset val="1"/>
    </font>
    <font>
      <b val="true"/>
      <sz val="10"/>
      <color rgb="FF375623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8000"/>
      <name val="Calibri"/>
      <family val="0"/>
      <charset val="1"/>
    </font>
    <font>
      <sz val="10"/>
      <color rgb="FF375623"/>
      <name val="Calibri"/>
      <family val="0"/>
      <charset val="1"/>
    </font>
    <font>
      <sz val="10"/>
      <color rgb="FFC00000"/>
      <name val="Calibri"/>
      <family val="0"/>
      <charset val="1"/>
    </font>
    <font>
      <i val="true"/>
      <sz val="9"/>
      <color rgb="FF1F3864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0"/>
      <color rgb="FF2F5496"/>
      <name val="Calibri"/>
      <family val="0"/>
      <charset val="1"/>
    </font>
    <font>
      <b val="true"/>
      <sz val="10"/>
      <color rgb="FF2F5496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i val="true"/>
      <sz val="11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D6E4F0"/>
        <bgColor rgb="FFDCE6F1"/>
      </patternFill>
    </fill>
    <fill>
      <patternFill patternType="solid">
        <fgColor rgb="FFFFFFFF"/>
        <bgColor rgb="FFF8FBFF"/>
      </patternFill>
    </fill>
    <fill>
      <patternFill patternType="solid">
        <fgColor rgb="FFF8FBFF"/>
        <bgColor rgb="FFF9F9F9"/>
      </patternFill>
    </fill>
    <fill>
      <patternFill patternType="solid">
        <fgColor rgb="FFFDECEA"/>
        <bgColor rgb="FFF2F2F2"/>
      </patternFill>
    </fill>
    <fill>
      <patternFill patternType="solid">
        <fgColor rgb="FFF2F2F2"/>
        <bgColor rgb="FFF9F9F9"/>
      </patternFill>
    </fill>
    <fill>
      <patternFill patternType="solid">
        <fgColor rgb="FFFFF2CC"/>
        <bgColor rgb="FFFDECEA"/>
      </patternFill>
    </fill>
    <fill>
      <patternFill patternType="solid">
        <fgColor rgb="FFE2EFDA"/>
        <bgColor rgb="FFDCE6F1"/>
      </patternFill>
    </fill>
    <fill>
      <patternFill patternType="solid">
        <fgColor rgb="FFDCE6F1"/>
        <bgColor rgb="FFD6E4F0"/>
      </patternFill>
    </fill>
    <fill>
      <patternFill patternType="solid">
        <fgColor rgb="FF1E7145"/>
        <bgColor rgb="FF375623"/>
      </patternFill>
    </fill>
    <fill>
      <patternFill patternType="solid">
        <fgColor rgb="FFC65911"/>
        <bgColor rgb="FFC0504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1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0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1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2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0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0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1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14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1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15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13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4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4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E7145"/>
      <rgbColor rgb="FF0000FF"/>
      <rgbColor rgb="FF00CCFF"/>
      <rgbColor rgb="FFD6E4F0"/>
      <rgbColor rgb="FFE2EFDA"/>
      <rgbColor rgb="FFFDECEA"/>
      <rgbColor rgb="FFF9F9F9"/>
      <rgbColor rgb="FFF8FBFF"/>
      <rgbColor rgb="FFCC99FF"/>
      <rgbColor rgb="FFF2F2F2"/>
      <rgbColor rgb="FF4F81BD"/>
      <rgbColor rgb="FF4BACC6"/>
      <rgbColor rgb="FF9BBB59"/>
      <rgbColor rgb="FFFFD700"/>
      <rgbColor rgb="FFFF9900"/>
      <rgbColor rgb="FFC65911"/>
      <rgbColor rgb="FF8064A2"/>
      <rgbColor rgb="FF878787"/>
      <rgbColor rgb="FF1F3864"/>
      <rgbColor rgb="FF339966"/>
      <rgbColor rgb="FF003300"/>
      <rgbColor rgb="FF333300"/>
      <rgbColor rgb="FF993300"/>
      <rgbColor rgb="FFC0504D"/>
      <rgbColor rgb="FF2F5496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Present Value (NPV) by Investment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Executive_Dashboard!B8</c:f>
              <c:strCache>
                <c:ptCount val="1"/>
                <c:pt idx="0">
                  <c:v>NPV ($)</c:v>
                </c:pt>
              </c:strCache>
            </c:strRef>
          </c:tx>
          <c:spPr>
            <a:solidFill>
              <a:srgbClr val="2f549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Executive_Dashboard!$A$9:$A$16</c:f>
              <c:strCache>
                <c:ptCount val="8"/>
                <c:pt idx="0">
                  <c:v>New Store Expansion</c:v>
                </c:pt>
                <c:pt idx="1">
                  <c:v>E-Commerce Platform</c:v>
                </c:pt>
                <c:pt idx="2">
                  <c:v>New Product Line</c:v>
                </c:pt>
                <c:pt idx="3">
                  <c:v>Geographic Expansion</c:v>
                </c:pt>
                <c:pt idx="4">
                  <c:v>Warehouse Automation</c:v>
                </c:pt>
                <c:pt idx="5">
                  <c:v>Customer Loyalty Prog</c:v>
                </c:pt>
                <c:pt idx="6">
                  <c:v>Mobile App Investment</c:v>
                </c:pt>
                <c:pt idx="7">
                  <c:v>Strategic Acquisition</c:v>
                </c:pt>
              </c:strCache>
            </c:strRef>
          </c:cat>
          <c:val>
            <c:numRef>
              <c:f>Executive_Dashboard!$B$9:$B$16</c:f>
              <c:numCache>
                <c:formatCode>\$#,##0;"($"#,##0\);\-</c:formatCode>
                <c:ptCount val="8"/>
                <c:pt idx="0">
                  <c:v>-68999</c:v>
                </c:pt>
                <c:pt idx="1">
                  <c:v>74789</c:v>
                </c:pt>
                <c:pt idx="2">
                  <c:v>72210</c:v>
                </c:pt>
                <c:pt idx="3">
                  <c:v>-80609</c:v>
                </c:pt>
                <c:pt idx="4">
                  <c:v>55224</c:v>
                </c:pt>
                <c:pt idx="5">
                  <c:v>127776</c:v>
                </c:pt>
                <c:pt idx="6">
                  <c:v>111297</c:v>
                </c:pt>
                <c:pt idx="7">
                  <c:v>-73469</c:v>
                </c:pt>
              </c:numCache>
            </c:numRef>
          </c:val>
        </c:ser>
        <c:gapWidth val="150"/>
        <c:overlap val="0"/>
        <c:axId val="77822391"/>
        <c:axId val="24060173"/>
      </c:barChart>
      <c:catAx>
        <c:axId val="7782239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060173"/>
        <c:crosses val="autoZero"/>
        <c:auto val="1"/>
        <c:lblAlgn val="ctr"/>
        <c:lblOffset val="100"/>
        <c:noMultiLvlLbl val="0"/>
      </c:catAx>
      <c:valAx>
        <c:axId val="240601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NPV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8223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IRR by Investment (%) vs 10% WACC Hurdle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Executive_Dashboard!C8</c:f>
              <c:strCache>
                <c:ptCount val="1"/>
                <c:pt idx="0">
                  <c:v>IRR (%)</c:v>
                </c:pt>
              </c:strCache>
            </c:strRef>
          </c:tx>
          <c:spPr>
            <a:solidFill>
              <a:srgbClr val="1e714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Executive_Dashboard!$A$9:$A$16</c:f>
              <c:strCache>
                <c:ptCount val="8"/>
                <c:pt idx="0">
                  <c:v>New Store Expansion</c:v>
                </c:pt>
                <c:pt idx="1">
                  <c:v>E-Commerce Platform</c:v>
                </c:pt>
                <c:pt idx="2">
                  <c:v>New Product Line</c:v>
                </c:pt>
                <c:pt idx="3">
                  <c:v>Geographic Expansion</c:v>
                </c:pt>
                <c:pt idx="4">
                  <c:v>Warehouse Automation</c:v>
                </c:pt>
                <c:pt idx="5">
                  <c:v>Customer Loyalty Prog</c:v>
                </c:pt>
                <c:pt idx="6">
                  <c:v>Mobile App Investment</c:v>
                </c:pt>
                <c:pt idx="7">
                  <c:v>Strategic Acquisition</c:v>
                </c:pt>
              </c:strCache>
            </c:strRef>
          </c:cat>
          <c:val>
            <c:numRef>
              <c:f>Executive_Dashboard!$C$9:$C$16</c:f>
              <c:numCache>
                <c:formatCode>0.0%;\(0.0%\);\-</c:formatCode>
                <c:ptCount val="8"/>
                <c:pt idx="0">
                  <c:v>0.0801</c:v>
                </c:pt>
                <c:pt idx="1">
                  <c:v>0.1321</c:v>
                </c:pt>
                <c:pt idx="2">
                  <c:v>0.1402</c:v>
                </c:pt>
                <c:pt idx="3">
                  <c:v>0.0745</c:v>
                </c:pt>
                <c:pt idx="4">
                  <c:v>0.1279</c:v>
                </c:pt>
                <c:pt idx="5">
                  <c:v>0.2035</c:v>
                </c:pt>
                <c:pt idx="6">
                  <c:v>0.1731</c:v>
                </c:pt>
                <c:pt idx="7">
                  <c:v>0.0847</c:v>
                </c:pt>
              </c:numCache>
            </c:numRef>
          </c:val>
        </c:ser>
        <c:gapWidth val="150"/>
        <c:overlap val="0"/>
        <c:axId val="31482710"/>
        <c:axId val="94099121"/>
      </c:barChart>
      <c:catAx>
        <c:axId val="314827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099121"/>
        <c:crosses val="autoZero"/>
        <c:auto val="1"/>
        <c:lblAlgn val="ctr"/>
        <c:lblOffset val="100"/>
        <c:noMultiLvlLbl val="0"/>
      </c:catAx>
      <c:valAx>
        <c:axId val="940991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;\(0.0%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4827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Composite Risk Score (1 = Safest, 10 = Riskiest)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Executive_Dashboard!F8</c:f>
              <c:strCache>
                <c:ptCount val="1"/>
                <c:pt idx="0">
                  <c:v>Risk Score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Executive_Dashboard!$A$9:$A$16</c:f>
              <c:strCache>
                <c:ptCount val="8"/>
                <c:pt idx="0">
                  <c:v>New Store Expansion</c:v>
                </c:pt>
                <c:pt idx="1">
                  <c:v>E-Commerce Platform</c:v>
                </c:pt>
                <c:pt idx="2">
                  <c:v>New Product Line</c:v>
                </c:pt>
                <c:pt idx="3">
                  <c:v>Geographic Expansion</c:v>
                </c:pt>
                <c:pt idx="4">
                  <c:v>Warehouse Automation</c:v>
                </c:pt>
                <c:pt idx="5">
                  <c:v>Customer Loyalty Prog</c:v>
                </c:pt>
                <c:pt idx="6">
                  <c:v>Mobile App Investment</c:v>
                </c:pt>
                <c:pt idx="7">
                  <c:v>Strategic Acquisition</c:v>
                </c:pt>
              </c:strCache>
            </c:strRef>
          </c:cat>
          <c:val>
            <c:numRef>
              <c:f>Executive_Dashboard!$F$9:$F$16</c:f>
              <c:numCache>
                <c:formatCode>#,##0.00;\(#,##0.00\);\-</c:formatCode>
                <c:ptCount val="8"/>
                <c:pt idx="0">
                  <c:v>7.875</c:v>
                </c:pt>
                <c:pt idx="1">
                  <c:v>5.375</c:v>
                </c:pt>
                <c:pt idx="2">
                  <c:v>4.25</c:v>
                </c:pt>
                <c:pt idx="3">
                  <c:v>7.875</c:v>
                </c:pt>
                <c:pt idx="4">
                  <c:v>4.375</c:v>
                </c:pt>
                <c:pt idx="5">
                  <c:v>1.75</c:v>
                </c:pt>
                <c:pt idx="6">
                  <c:v>3.5</c:v>
                </c:pt>
                <c:pt idx="7">
                  <c:v>10</c:v>
                </c:pt>
              </c:numCache>
            </c:numRef>
          </c:val>
        </c:ser>
        <c:gapWidth val="150"/>
        <c:overlap val="0"/>
        <c:axId val="53803680"/>
        <c:axId val="26641999"/>
      </c:barChart>
      <c:catAx>
        <c:axId val="538036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641999"/>
        <c:crosses val="autoZero"/>
        <c:auto val="1"/>
        <c:lblAlgn val="ctr"/>
        <c:lblOffset val="100"/>
        <c:noMultiLvlLbl val="0"/>
      </c:catAx>
      <c:valAx>
        <c:axId val="266419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;\(#,##0.0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8036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Optimal Portfolio — Budget Allocation ($3,000,000 of $5M)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Executive_Dashboard!J8</c:f>
              <c:strCache>
                <c:ptCount val="1"/>
                <c:pt idx="0">
                  <c:v>Cost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Executive_Dashboard!$I$9:$I$13</c:f>
              <c:strCache>
                <c:ptCount val="5"/>
                <c:pt idx="0">
                  <c:v>E-Commerce Platform</c:v>
                </c:pt>
                <c:pt idx="1">
                  <c:v>Geographic Expansion</c:v>
                </c:pt>
                <c:pt idx="2">
                  <c:v>Warehouse Automation</c:v>
                </c:pt>
                <c:pt idx="3">
                  <c:v>Customer Loyalty Prog</c:v>
                </c:pt>
                <c:pt idx="4">
                  <c:v>Strategic Acquisition</c:v>
                </c:pt>
              </c:strCache>
            </c:strRef>
          </c:cat>
          <c:val>
            <c:numRef>
              <c:f>Executive_Dashboard!$J$9:$J$13</c:f>
              <c:numCache>
                <c:formatCode>\$#,##0;"($"#,##0\);\-</c:formatCode>
                <c:ptCount val="5"/>
                <c:pt idx="0">
                  <c:v>800000</c:v>
                </c:pt>
                <c:pt idx="1">
                  <c:v>1000000</c:v>
                </c:pt>
                <c:pt idx="2">
                  <c:v>700000</c:v>
                </c:pt>
                <c:pt idx="3">
                  <c:v>400000</c:v>
                </c:pt>
                <c:pt idx="4">
                  <c:v>1500000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0</xdr:rowOff>
    </xdr:from>
    <xdr:to>
      <xdr:col>8</xdr:col>
      <xdr:colOff>94320</xdr:colOff>
      <xdr:row>41</xdr:row>
      <xdr:rowOff>106200</xdr:rowOff>
    </xdr:to>
    <xdr:graphicFrame>
      <xdr:nvGraphicFramePr>
        <xdr:cNvPr id="0" name="Chart 1"/>
        <xdr:cNvGraphicFramePr/>
      </xdr:nvGraphicFramePr>
      <xdr:xfrm>
        <a:off x="0" y="4124160"/>
        <a:ext cx="7213320" cy="467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17</xdr:row>
      <xdr:rowOff>0</xdr:rowOff>
    </xdr:from>
    <xdr:to>
      <xdr:col>21</xdr:col>
      <xdr:colOff>63720</xdr:colOff>
      <xdr:row>41</xdr:row>
      <xdr:rowOff>106200</xdr:rowOff>
    </xdr:to>
    <xdr:graphicFrame>
      <xdr:nvGraphicFramePr>
        <xdr:cNvPr id="1" name="Chart 2"/>
        <xdr:cNvGraphicFramePr/>
      </xdr:nvGraphicFramePr>
      <xdr:xfrm>
        <a:off x="8951760" y="4124160"/>
        <a:ext cx="7917840" cy="467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36</xdr:row>
      <xdr:rowOff>0</xdr:rowOff>
    </xdr:from>
    <xdr:to>
      <xdr:col>8</xdr:col>
      <xdr:colOff>94320</xdr:colOff>
      <xdr:row>60</xdr:row>
      <xdr:rowOff>106200</xdr:rowOff>
    </xdr:to>
    <xdr:graphicFrame>
      <xdr:nvGraphicFramePr>
        <xdr:cNvPr id="2" name="Chart 3"/>
        <xdr:cNvGraphicFramePr/>
      </xdr:nvGraphicFramePr>
      <xdr:xfrm>
        <a:off x="0" y="7743960"/>
        <a:ext cx="7213320" cy="467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36</xdr:row>
      <xdr:rowOff>0</xdr:rowOff>
    </xdr:from>
    <xdr:to>
      <xdr:col>21</xdr:col>
      <xdr:colOff>63720</xdr:colOff>
      <xdr:row>62</xdr:row>
      <xdr:rowOff>85320</xdr:rowOff>
    </xdr:to>
    <xdr:graphicFrame>
      <xdr:nvGraphicFramePr>
        <xdr:cNvPr id="3" name="Chart 4"/>
        <xdr:cNvGraphicFramePr/>
      </xdr:nvGraphicFramePr>
      <xdr:xfrm>
        <a:off x="8951760" y="7743960"/>
        <a:ext cx="7917840" cy="50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K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52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6" hidden="false" customHeight="true" outlineLevel="0" collapsed="false"/>
    <row r="4" customFormat="false" ht="18" hidden="false" customHeight="true" outlineLevel="0" collapsed="false">
      <c r="A4" s="4" t="s">
        <v>2</v>
      </c>
      <c r="B4" s="5" t="s">
        <v>3</v>
      </c>
    </row>
    <row r="5" customFormat="false" ht="18" hidden="false" customHeight="true" outlineLevel="0" collapsed="false">
      <c r="A5" s="4" t="s">
        <v>4</v>
      </c>
      <c r="B5" s="5" t="s">
        <v>5</v>
      </c>
    </row>
    <row r="6" customFormat="false" ht="18" hidden="false" customHeight="true" outlineLevel="0" collapsed="false">
      <c r="A6" s="4" t="s">
        <v>6</v>
      </c>
      <c r="B6" s="5" t="s">
        <v>7</v>
      </c>
    </row>
    <row r="7" customFormat="false" ht="18" hidden="false" customHeight="true" outlineLevel="0" collapsed="false">
      <c r="A7" s="4" t="s">
        <v>8</v>
      </c>
      <c r="B7" s="5" t="s">
        <v>9</v>
      </c>
    </row>
    <row r="8" customFormat="false" ht="7.5" hidden="false" customHeight="true" outlineLevel="0" collapsed="false"/>
    <row r="9" customFormat="false" ht="18" hidden="false" customHeight="true" outlineLevel="0" collapsed="false">
      <c r="A9" s="6" t="s">
        <v>10</v>
      </c>
      <c r="B9" s="6"/>
    </row>
    <row r="10" customFormat="false" ht="18" hidden="false" customHeight="true" outlineLevel="0" collapsed="false">
      <c r="A10" s="4" t="s">
        <v>11</v>
      </c>
      <c r="B10" s="7" t="n">
        <v>5000000</v>
      </c>
    </row>
    <row r="11" customFormat="false" ht="18" hidden="false" customHeight="true" outlineLevel="0" collapsed="false">
      <c r="A11" s="4" t="s">
        <v>12</v>
      </c>
      <c r="B11" s="5" t="s">
        <v>13</v>
      </c>
    </row>
    <row r="12" customFormat="false" ht="18" hidden="false" customHeight="true" outlineLevel="0" collapsed="false">
      <c r="A12" s="4" t="s">
        <v>14</v>
      </c>
      <c r="B12" s="7" t="n">
        <v>6700000</v>
      </c>
    </row>
    <row r="13" customFormat="false" ht="18" hidden="false" customHeight="true" outlineLevel="0" collapsed="false">
      <c r="A13" s="4" t="s">
        <v>15</v>
      </c>
      <c r="B13" s="5" t="s">
        <v>16</v>
      </c>
    </row>
    <row r="14" customFormat="false" ht="18" hidden="false" customHeight="true" outlineLevel="0" collapsed="false">
      <c r="A14" s="4" t="s">
        <v>17</v>
      </c>
      <c r="B14" s="8" t="n">
        <v>0.1</v>
      </c>
    </row>
    <row r="15" customFormat="false" ht="7.5" hidden="false" customHeight="true" outlineLevel="0" collapsed="false"/>
    <row r="16" customFormat="false" ht="18" hidden="false" customHeight="true" outlineLevel="0" collapsed="false">
      <c r="A16" s="6" t="s">
        <v>18</v>
      </c>
      <c r="B16" s="6"/>
    </row>
    <row r="17" customFormat="false" ht="90" hidden="false" customHeight="true" outlineLevel="0" collapsed="false">
      <c r="A17" s="9" t="s">
        <v>19</v>
      </c>
      <c r="B17" s="9"/>
    </row>
    <row r="18" customFormat="false" ht="15" hidden="false" customHeight="true" outlineLevel="0" collapsed="false">
      <c r="A18" s="9"/>
      <c r="B18" s="9"/>
    </row>
    <row r="19" customFormat="false" ht="15" hidden="false" customHeight="true" outlineLevel="0" collapsed="false">
      <c r="A19" s="9"/>
      <c r="B19" s="9"/>
    </row>
    <row r="20" customFormat="false" ht="15" hidden="false" customHeight="true" outlineLevel="0" collapsed="false">
      <c r="A20" s="9"/>
      <c r="B20" s="9"/>
    </row>
    <row r="21" customFormat="false" ht="15" hidden="false" customHeight="true" outlineLevel="0" collapsed="false">
      <c r="A21" s="9"/>
      <c r="B21" s="9"/>
    </row>
    <row r="22" customFormat="false" ht="15" hidden="false" customHeight="true" outlineLevel="0" collapsed="false">
      <c r="A22" s="9"/>
      <c r="B22" s="9"/>
    </row>
  </sheetData>
  <mergeCells count="5">
    <mergeCell ref="A1:K1"/>
    <mergeCell ref="A2:K2"/>
    <mergeCell ref="A9:B9"/>
    <mergeCell ref="A16:B16"/>
    <mergeCell ref="A17:B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6"/>
  </cols>
  <sheetData>
    <row r="1" customFormat="false" ht="27.75" hidden="false" customHeight="true" outlineLevel="0" collapsed="false">
      <c r="A1" s="10" t="s">
        <v>20</v>
      </c>
      <c r="B1" s="10"/>
    </row>
    <row r="3" customFormat="false" ht="18" hidden="false" customHeight="true" outlineLevel="0" collapsed="false">
      <c r="A3" s="11" t="s">
        <v>21</v>
      </c>
      <c r="B3" s="11"/>
    </row>
    <row r="4" customFormat="false" ht="18" hidden="false" customHeight="true" outlineLevel="0" collapsed="false">
      <c r="A4" s="12" t="s">
        <v>22</v>
      </c>
      <c r="B4" s="13" t="n">
        <v>0.1</v>
      </c>
    </row>
    <row r="5" customFormat="false" ht="18" hidden="false" customHeight="true" outlineLevel="0" collapsed="false">
      <c r="A5" s="12" t="s">
        <v>23</v>
      </c>
      <c r="B5" s="13" t="n">
        <v>0.25</v>
      </c>
    </row>
    <row r="6" customFormat="false" ht="18" hidden="false" customHeight="true" outlineLevel="0" collapsed="false">
      <c r="A6" s="12" t="s">
        <v>24</v>
      </c>
      <c r="B6" s="14" t="n">
        <v>5</v>
      </c>
    </row>
    <row r="7" customFormat="false" ht="18" hidden="false" customHeight="true" outlineLevel="0" collapsed="false">
      <c r="A7" s="12" t="s">
        <v>25</v>
      </c>
      <c r="B7" s="15" t="n">
        <v>5000000</v>
      </c>
    </row>
    <row r="8" customFormat="false" ht="18" hidden="false" customHeight="true" outlineLevel="0" collapsed="false">
      <c r="A8" s="12" t="s">
        <v>26</v>
      </c>
      <c r="B8" s="13" t="n">
        <v>0.04</v>
      </c>
    </row>
    <row r="9" customFormat="false" ht="15" hidden="false" customHeight="true" outlineLevel="0" collapsed="false">
      <c r="A9" s="16"/>
      <c r="B9" s="16"/>
    </row>
    <row r="10" customFormat="false" ht="18" hidden="false" customHeight="true" outlineLevel="0" collapsed="false">
      <c r="A10" s="11" t="s">
        <v>27</v>
      </c>
      <c r="B10" s="11"/>
    </row>
    <row r="11" customFormat="false" ht="18" hidden="false" customHeight="true" outlineLevel="0" collapsed="false">
      <c r="A11" s="12" t="s">
        <v>28</v>
      </c>
      <c r="B11" s="13" t="n">
        <v>-0.1</v>
      </c>
    </row>
    <row r="12" customFormat="false" ht="18" hidden="false" customHeight="true" outlineLevel="0" collapsed="false">
      <c r="A12" s="12" t="s">
        <v>29</v>
      </c>
      <c r="B12" s="13" t="n">
        <v>0</v>
      </c>
    </row>
    <row r="13" customFormat="false" ht="18" hidden="false" customHeight="true" outlineLevel="0" collapsed="false">
      <c r="A13" s="12" t="s">
        <v>30</v>
      </c>
      <c r="B13" s="13" t="n">
        <v>0.1</v>
      </c>
    </row>
    <row r="14" customFormat="false" ht="18" hidden="false" customHeight="true" outlineLevel="0" collapsed="false">
      <c r="A14" s="12" t="s">
        <v>31</v>
      </c>
      <c r="B14" s="13" t="n">
        <v>0</v>
      </c>
    </row>
    <row r="15" customFormat="false" ht="18" hidden="false" customHeight="true" outlineLevel="0" collapsed="false">
      <c r="A15" s="12" t="s">
        <v>32</v>
      </c>
      <c r="B15" s="13" t="n">
        <v>0.05</v>
      </c>
    </row>
    <row r="16" customFormat="false" ht="18" hidden="false" customHeight="true" outlineLevel="0" collapsed="false">
      <c r="A16" s="12" t="s">
        <v>33</v>
      </c>
      <c r="B16" s="13" t="n">
        <v>0.1</v>
      </c>
    </row>
    <row r="17" customFormat="false" ht="18" hidden="false" customHeight="true" outlineLevel="0" collapsed="false">
      <c r="A17" s="12" t="s">
        <v>34</v>
      </c>
      <c r="B17" s="13" t="n">
        <v>0.08</v>
      </c>
    </row>
    <row r="18" customFormat="false" ht="18" hidden="false" customHeight="true" outlineLevel="0" collapsed="false">
      <c r="A18" s="12" t="s">
        <v>35</v>
      </c>
      <c r="B18" s="13" t="n">
        <v>0.1</v>
      </c>
    </row>
    <row r="19" customFormat="false" ht="18" hidden="false" customHeight="true" outlineLevel="0" collapsed="false">
      <c r="A19" s="12" t="s">
        <v>36</v>
      </c>
      <c r="B19" s="13" t="n">
        <v>0.12</v>
      </c>
    </row>
    <row r="20" customFormat="false" ht="15" hidden="false" customHeight="true" outlineLevel="0" collapsed="false">
      <c r="A20" s="16"/>
      <c r="B20" s="16"/>
    </row>
    <row r="21" customFormat="false" ht="18" hidden="false" customHeight="true" outlineLevel="0" collapsed="false">
      <c r="A21" s="11" t="s">
        <v>37</v>
      </c>
      <c r="B21" s="11"/>
    </row>
    <row r="22" customFormat="false" ht="18" hidden="false" customHeight="true" outlineLevel="0" collapsed="false">
      <c r="A22" s="12" t="s">
        <v>38</v>
      </c>
      <c r="B22" s="13" t="n">
        <v>0.4</v>
      </c>
    </row>
    <row r="23" customFormat="false" ht="18" hidden="false" customHeight="true" outlineLevel="0" collapsed="false">
      <c r="A23" s="12" t="s">
        <v>39</v>
      </c>
      <c r="B23" s="13" t="n">
        <v>0.3</v>
      </c>
    </row>
    <row r="24" customFormat="false" ht="18" hidden="false" customHeight="true" outlineLevel="0" collapsed="false">
      <c r="A24" s="12" t="s">
        <v>40</v>
      </c>
      <c r="B24" s="13" t="n">
        <v>0.3</v>
      </c>
    </row>
    <row r="25" customFormat="false" ht="15" hidden="false" customHeight="true" outlineLevel="0" collapsed="false">
      <c r="A25" s="16"/>
      <c r="B25" s="16"/>
    </row>
  </sheetData>
  <mergeCells count="4">
    <mergeCell ref="A1:B1"/>
    <mergeCell ref="A3:B3"/>
    <mergeCell ref="A10:B10"/>
    <mergeCell ref="A21:B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16"/>
    <col collapsed="false" customWidth="true" hidden="false" outlineLevel="0" max="8" min="4" style="1" width="14"/>
    <col collapsed="false" customWidth="true" hidden="false" outlineLevel="0" max="9" min="9" style="1" width="12"/>
    <col collapsed="false" customWidth="true" hidden="false" outlineLevel="0" max="10" min="10" style="1" width="18"/>
  </cols>
  <sheetData>
    <row r="1" customFormat="false" ht="19.5" hidden="false" customHeight="true" outlineLevel="0" collapsed="false">
      <c r="A1" s="17" t="s">
        <v>41</v>
      </c>
      <c r="B1" s="17" t="s">
        <v>42</v>
      </c>
      <c r="C1" s="17" t="s">
        <v>43</v>
      </c>
      <c r="D1" s="17" t="s">
        <v>44</v>
      </c>
      <c r="E1" s="17" t="s">
        <v>45</v>
      </c>
      <c r="F1" s="17" t="s">
        <v>46</v>
      </c>
      <c r="G1" s="17" t="s">
        <v>47</v>
      </c>
      <c r="H1" s="17" t="s">
        <v>48</v>
      </c>
      <c r="I1" s="17" t="s">
        <v>49</v>
      </c>
      <c r="J1" s="17" t="s">
        <v>50</v>
      </c>
    </row>
    <row r="2" customFormat="false" ht="18" hidden="false" customHeight="true" outlineLevel="0" collapsed="false">
      <c r="A2" s="18" t="n">
        <v>1</v>
      </c>
      <c r="B2" s="19" t="s">
        <v>51</v>
      </c>
      <c r="C2" s="20" t="n">
        <v>1200000</v>
      </c>
      <c r="D2" s="20" t="n">
        <v>180000</v>
      </c>
      <c r="E2" s="20" t="n">
        <v>250000</v>
      </c>
      <c r="F2" s="20" t="n">
        <v>320000</v>
      </c>
      <c r="G2" s="20" t="n">
        <v>380000</v>
      </c>
      <c r="H2" s="20" t="n">
        <v>420000</v>
      </c>
      <c r="I2" s="21" t="s">
        <v>52</v>
      </c>
      <c r="J2" s="19" t="s">
        <v>53</v>
      </c>
    </row>
    <row r="3" customFormat="false" ht="18" hidden="false" customHeight="true" outlineLevel="0" collapsed="false">
      <c r="A3" s="22" t="n">
        <v>2</v>
      </c>
      <c r="B3" s="23" t="s">
        <v>54</v>
      </c>
      <c r="C3" s="24" t="n">
        <v>800000</v>
      </c>
      <c r="D3" s="24" t="n">
        <v>160000</v>
      </c>
      <c r="E3" s="24" t="n">
        <v>200000</v>
      </c>
      <c r="F3" s="24" t="n">
        <v>240000</v>
      </c>
      <c r="G3" s="24" t="n">
        <v>280000</v>
      </c>
      <c r="H3" s="24" t="n">
        <v>310000</v>
      </c>
      <c r="I3" s="25" t="s">
        <v>55</v>
      </c>
      <c r="J3" s="23" t="s">
        <v>56</v>
      </c>
    </row>
    <row r="4" customFormat="false" ht="18" hidden="false" customHeight="true" outlineLevel="0" collapsed="false">
      <c r="A4" s="18" t="n">
        <v>3</v>
      </c>
      <c r="B4" s="19" t="s">
        <v>57</v>
      </c>
      <c r="C4" s="20" t="n">
        <v>600000</v>
      </c>
      <c r="D4" s="20" t="n">
        <v>110000</v>
      </c>
      <c r="E4" s="20" t="n">
        <v>150000</v>
      </c>
      <c r="F4" s="20" t="n">
        <v>190000</v>
      </c>
      <c r="G4" s="20" t="n">
        <v>220000</v>
      </c>
      <c r="H4" s="20" t="n">
        <v>250000</v>
      </c>
      <c r="I4" s="25" t="s">
        <v>55</v>
      </c>
      <c r="J4" s="19" t="s">
        <v>58</v>
      </c>
    </row>
    <row r="5" customFormat="false" ht="18" hidden="false" customHeight="true" outlineLevel="0" collapsed="false">
      <c r="A5" s="22" t="n">
        <v>4</v>
      </c>
      <c r="B5" s="23" t="s">
        <v>59</v>
      </c>
      <c r="C5" s="24" t="n">
        <v>1000000</v>
      </c>
      <c r="D5" s="24" t="n">
        <v>80000</v>
      </c>
      <c r="E5" s="24" t="n">
        <v>160000</v>
      </c>
      <c r="F5" s="24" t="n">
        <v>260000</v>
      </c>
      <c r="G5" s="24" t="n">
        <v>360000</v>
      </c>
      <c r="H5" s="24" t="n">
        <v>440000</v>
      </c>
      <c r="I5" s="21" t="s">
        <v>52</v>
      </c>
      <c r="J5" s="23" t="s">
        <v>60</v>
      </c>
    </row>
    <row r="6" customFormat="false" ht="18" hidden="false" customHeight="true" outlineLevel="0" collapsed="false">
      <c r="A6" s="18" t="n">
        <v>5</v>
      </c>
      <c r="B6" s="19" t="s">
        <v>61</v>
      </c>
      <c r="C6" s="20" t="n">
        <v>700000</v>
      </c>
      <c r="D6" s="20" t="n">
        <v>150000</v>
      </c>
      <c r="E6" s="20" t="n">
        <v>180000</v>
      </c>
      <c r="F6" s="20" t="n">
        <v>210000</v>
      </c>
      <c r="G6" s="20" t="n">
        <v>230000</v>
      </c>
      <c r="H6" s="20" t="n">
        <v>250000</v>
      </c>
      <c r="I6" s="26" t="s">
        <v>62</v>
      </c>
      <c r="J6" s="19" t="s">
        <v>63</v>
      </c>
    </row>
    <row r="7" customFormat="false" ht="18" hidden="false" customHeight="true" outlineLevel="0" collapsed="false">
      <c r="A7" s="22" t="n">
        <v>6</v>
      </c>
      <c r="B7" s="23" t="s">
        <v>64</v>
      </c>
      <c r="C7" s="24" t="n">
        <v>400000</v>
      </c>
      <c r="D7" s="24" t="n">
        <v>90000</v>
      </c>
      <c r="E7" s="24" t="n">
        <v>120000</v>
      </c>
      <c r="F7" s="24" t="n">
        <v>150000</v>
      </c>
      <c r="G7" s="24" t="n">
        <v>170000</v>
      </c>
      <c r="H7" s="24" t="n">
        <v>190000</v>
      </c>
      <c r="I7" s="26" t="s">
        <v>62</v>
      </c>
      <c r="J7" s="23" t="s">
        <v>65</v>
      </c>
    </row>
    <row r="8" customFormat="false" ht="18" hidden="false" customHeight="true" outlineLevel="0" collapsed="false">
      <c r="A8" s="18" t="n">
        <v>7</v>
      </c>
      <c r="B8" s="19" t="s">
        <v>66</v>
      </c>
      <c r="C8" s="20" t="n">
        <v>500000</v>
      </c>
      <c r="D8" s="20" t="n">
        <v>100000</v>
      </c>
      <c r="E8" s="20" t="n">
        <v>140000</v>
      </c>
      <c r="F8" s="20" t="n">
        <v>175000</v>
      </c>
      <c r="G8" s="20" t="n">
        <v>200000</v>
      </c>
      <c r="H8" s="20" t="n">
        <v>220000</v>
      </c>
      <c r="I8" s="25" t="s">
        <v>55</v>
      </c>
      <c r="J8" s="19" t="s">
        <v>56</v>
      </c>
    </row>
    <row r="9" customFormat="false" ht="18" hidden="false" customHeight="true" outlineLevel="0" collapsed="false">
      <c r="A9" s="22" t="n">
        <v>8</v>
      </c>
      <c r="B9" s="23" t="s">
        <v>67</v>
      </c>
      <c r="C9" s="24" t="n">
        <v>1500000</v>
      </c>
      <c r="D9" s="24" t="n">
        <v>120000</v>
      </c>
      <c r="E9" s="24" t="n">
        <v>250000</v>
      </c>
      <c r="F9" s="24" t="n">
        <v>400000</v>
      </c>
      <c r="G9" s="24" t="n">
        <v>550000</v>
      </c>
      <c r="H9" s="24" t="n">
        <v>700000</v>
      </c>
      <c r="I9" s="21" t="s">
        <v>68</v>
      </c>
      <c r="J9" s="23" t="s">
        <v>69</v>
      </c>
    </row>
    <row r="10" customFormat="false" ht="18" hidden="false" customHeight="true" outlineLevel="0" collapsed="false">
      <c r="A10" s="27"/>
      <c r="B10" s="11" t="s">
        <v>70</v>
      </c>
      <c r="C10" s="28" t="n">
        <v>6700000</v>
      </c>
      <c r="D10" s="28" t="n">
        <v>990000</v>
      </c>
      <c r="E10" s="28" t="n">
        <v>1450000</v>
      </c>
      <c r="F10" s="28" t="n">
        <v>1945000</v>
      </c>
      <c r="G10" s="28" t="n">
        <v>2390000</v>
      </c>
      <c r="H10" s="28" t="n">
        <v>2780000</v>
      </c>
      <c r="I10" s="27"/>
      <c r="J10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5911"/>
    <pageSetUpPr fitToPage="false"/>
  </sheetPr>
  <dimension ref="A1:D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6"/>
    <col collapsed="false" customWidth="true" hidden="false" outlineLevel="0" max="4" min="3" style="1" width="18"/>
  </cols>
  <sheetData>
    <row r="1" customFormat="false" ht="30" hidden="false" customHeight="true" outlineLevel="0" collapsed="false">
      <c r="A1" s="29" t="s">
        <v>71</v>
      </c>
      <c r="B1" s="29"/>
      <c r="C1" s="29"/>
      <c r="D1" s="29"/>
    </row>
    <row r="2" customFormat="false" ht="19.5" hidden="false" customHeight="true" outlineLevel="0" collapsed="false">
      <c r="A2" s="30" t="s">
        <v>72</v>
      </c>
      <c r="B2" s="30"/>
      <c r="C2" s="30"/>
      <c r="D2" s="30"/>
    </row>
    <row r="3" customFormat="false" ht="18" hidden="false" customHeight="true" outlineLevel="0" collapsed="false">
      <c r="A3" s="17" t="s">
        <v>73</v>
      </c>
      <c r="B3" s="17" t="s">
        <v>74</v>
      </c>
      <c r="C3" s="17" t="s">
        <v>75</v>
      </c>
      <c r="D3" s="17" t="s">
        <v>76</v>
      </c>
    </row>
    <row r="4" customFormat="false" ht="15.75" hidden="false" customHeight="true" outlineLevel="0" collapsed="false">
      <c r="A4" s="31" t="n">
        <v>0</v>
      </c>
      <c r="B4" s="32" t="n">
        <v>-1200000</v>
      </c>
      <c r="C4" s="33" t="n">
        <v>1</v>
      </c>
      <c r="D4" s="34" t="n">
        <v>-1200000</v>
      </c>
    </row>
    <row r="5" customFormat="false" ht="15.75" hidden="false" customHeight="true" outlineLevel="0" collapsed="false">
      <c r="A5" s="18" t="n">
        <v>1</v>
      </c>
      <c r="B5" s="20" t="n">
        <v>180000</v>
      </c>
      <c r="C5" s="35" t="n">
        <f aca="false">ROUND(1/POWER(1.1,1),10)</f>
        <v>0.9090909091</v>
      </c>
      <c r="D5" s="36" t="n">
        <f aca="false">ROUND(B5*C5,2)</f>
        <v>163636.36</v>
      </c>
    </row>
    <row r="6" customFormat="false" ht="15.75" hidden="false" customHeight="true" outlineLevel="0" collapsed="false">
      <c r="A6" s="22" t="n">
        <v>2</v>
      </c>
      <c r="B6" s="24" t="n">
        <v>250000</v>
      </c>
      <c r="C6" s="37" t="n">
        <f aca="false">ROUND(1/POWER(1.1,2),10)</f>
        <v>0.826446281</v>
      </c>
      <c r="D6" s="38" t="n">
        <f aca="false">ROUND(B6*C6,2)</f>
        <v>206611.57</v>
      </c>
    </row>
    <row r="7" customFormat="false" ht="15.75" hidden="false" customHeight="true" outlineLevel="0" collapsed="false">
      <c r="A7" s="18" t="n">
        <v>3</v>
      </c>
      <c r="B7" s="20" t="n">
        <v>320000</v>
      </c>
      <c r="C7" s="35" t="n">
        <f aca="false">ROUND(1/POWER(1.1,3),10)</f>
        <v>0.7513148009</v>
      </c>
      <c r="D7" s="36" t="n">
        <f aca="false">ROUND(B7*C7,2)</f>
        <v>240420.74</v>
      </c>
    </row>
    <row r="8" customFormat="false" ht="15.75" hidden="false" customHeight="true" outlineLevel="0" collapsed="false">
      <c r="A8" s="22" t="n">
        <v>4</v>
      </c>
      <c r="B8" s="24" t="n">
        <v>380000</v>
      </c>
      <c r="C8" s="37" t="n">
        <f aca="false">ROUND(1/POWER(1.1,4),10)</f>
        <v>0.6830134554</v>
      </c>
      <c r="D8" s="38" t="n">
        <f aca="false">ROUND(B8*C8,2)</f>
        <v>259545.11</v>
      </c>
    </row>
    <row r="9" customFormat="false" ht="15.75" hidden="false" customHeight="true" outlineLevel="0" collapsed="false">
      <c r="A9" s="18" t="n">
        <v>5</v>
      </c>
      <c r="B9" s="20" t="n">
        <v>420000</v>
      </c>
      <c r="C9" s="35" t="n">
        <f aca="false">ROUND(1/POWER(1.1,5),10)</f>
        <v>0.6209213231</v>
      </c>
      <c r="D9" s="36" t="n">
        <f aca="false">ROUND(B9*C9,2)</f>
        <v>260786.96</v>
      </c>
    </row>
    <row r="10" customFormat="false" ht="15" hidden="false" customHeight="true" outlineLevel="0" collapsed="false">
      <c r="A10" s="16"/>
      <c r="B10" s="16"/>
      <c r="C10" s="16"/>
      <c r="D10" s="16"/>
    </row>
    <row r="11" customFormat="false" ht="18" hidden="false" customHeight="true" outlineLevel="0" collapsed="false">
      <c r="A11" s="11" t="s">
        <v>77</v>
      </c>
      <c r="B11" s="11"/>
      <c r="C11" s="11"/>
      <c r="D11" s="39" t="n">
        <f aca="false">ROUND(SUM(D5:D9)+D4,2)</f>
        <v>-68999.26</v>
      </c>
    </row>
    <row r="12" customFormat="false" ht="18" hidden="false" customHeight="true" outlineLevel="0" collapsed="false">
      <c r="A12" s="11" t="s">
        <v>78</v>
      </c>
      <c r="B12" s="11"/>
      <c r="C12" s="11"/>
      <c r="D12" s="40" t="n">
        <f aca="false">IFERROR(IRR(B4:B9),IFERROR(IRR(B4:B9,0.05),0))</f>
        <v>0.0800509021958121</v>
      </c>
    </row>
    <row r="13" customFormat="false" ht="18" hidden="false" customHeight="true" outlineLevel="0" collapsed="false">
      <c r="A13" s="11" t="s">
        <v>79</v>
      </c>
      <c r="B13" s="11"/>
      <c r="C13" s="11"/>
      <c r="D13" s="41" t="n">
        <f aca="false">ROUND(SUM(D5:D9),2)</f>
        <v>1131000.74</v>
      </c>
    </row>
    <row r="14" customFormat="false" ht="7.5" hidden="false" customHeight="true" outlineLevel="0" collapsed="false"/>
    <row r="15" customFormat="false" ht="19.5" hidden="false" customHeight="true" outlineLevel="0" collapsed="false">
      <c r="A15" s="30" t="s">
        <v>80</v>
      </c>
      <c r="B15" s="30"/>
      <c r="C15" s="30"/>
      <c r="D15" s="30"/>
    </row>
    <row r="16" customFormat="false" ht="18" hidden="false" customHeight="true" outlineLevel="0" collapsed="false">
      <c r="A16" s="17" t="s">
        <v>73</v>
      </c>
      <c r="B16" s="17" t="s">
        <v>74</v>
      </c>
      <c r="C16" s="17" t="s">
        <v>75</v>
      </c>
      <c r="D16" s="17" t="s">
        <v>76</v>
      </c>
    </row>
    <row r="17" customFormat="false" ht="15.75" hidden="false" customHeight="true" outlineLevel="0" collapsed="false">
      <c r="A17" s="31" t="n">
        <v>0</v>
      </c>
      <c r="B17" s="32" t="n">
        <v>-800000</v>
      </c>
      <c r="C17" s="33" t="n">
        <v>1</v>
      </c>
      <c r="D17" s="34" t="n">
        <v>-800000</v>
      </c>
    </row>
    <row r="18" customFormat="false" ht="15.75" hidden="false" customHeight="true" outlineLevel="0" collapsed="false">
      <c r="A18" s="18" t="n">
        <v>1</v>
      </c>
      <c r="B18" s="20" t="n">
        <v>160000</v>
      </c>
      <c r="C18" s="35" t="n">
        <f aca="false">ROUND(1/POWER(1.1,1),10)</f>
        <v>0.9090909091</v>
      </c>
      <c r="D18" s="36" t="n">
        <f aca="false">ROUND(B18*C18,2)</f>
        <v>145454.55</v>
      </c>
    </row>
    <row r="19" customFormat="false" ht="15.75" hidden="false" customHeight="true" outlineLevel="0" collapsed="false">
      <c r="A19" s="22" t="n">
        <v>2</v>
      </c>
      <c r="B19" s="24" t="n">
        <v>200000</v>
      </c>
      <c r="C19" s="37" t="n">
        <f aca="false">ROUND(1/POWER(1.1,2),10)</f>
        <v>0.826446281</v>
      </c>
      <c r="D19" s="38" t="n">
        <f aca="false">ROUND(B19*C19,2)</f>
        <v>165289.26</v>
      </c>
    </row>
    <row r="20" customFormat="false" ht="15.75" hidden="false" customHeight="true" outlineLevel="0" collapsed="false">
      <c r="A20" s="18" t="n">
        <v>3</v>
      </c>
      <c r="B20" s="20" t="n">
        <v>240000</v>
      </c>
      <c r="C20" s="35" t="n">
        <f aca="false">ROUND(1/POWER(1.1,3),10)</f>
        <v>0.7513148009</v>
      </c>
      <c r="D20" s="36" t="n">
        <f aca="false">ROUND(B20*C20,2)</f>
        <v>180315.55</v>
      </c>
    </row>
    <row r="21" customFormat="false" ht="15.75" hidden="false" customHeight="true" outlineLevel="0" collapsed="false">
      <c r="A21" s="22" t="n">
        <v>4</v>
      </c>
      <c r="B21" s="24" t="n">
        <v>280000</v>
      </c>
      <c r="C21" s="37" t="n">
        <f aca="false">ROUND(1/POWER(1.1,4),10)</f>
        <v>0.6830134554</v>
      </c>
      <c r="D21" s="38" t="n">
        <f aca="false">ROUND(B21*C21,2)</f>
        <v>191243.77</v>
      </c>
    </row>
    <row r="22" customFormat="false" ht="15.75" hidden="false" customHeight="true" outlineLevel="0" collapsed="false">
      <c r="A22" s="18" t="n">
        <v>5</v>
      </c>
      <c r="B22" s="20" t="n">
        <v>310000</v>
      </c>
      <c r="C22" s="35" t="n">
        <f aca="false">ROUND(1/POWER(1.1,5),10)</f>
        <v>0.6209213231</v>
      </c>
      <c r="D22" s="36" t="n">
        <f aca="false">ROUND(B22*C22,2)</f>
        <v>192485.61</v>
      </c>
    </row>
    <row r="23" customFormat="false" ht="15" hidden="false" customHeight="true" outlineLevel="0" collapsed="false">
      <c r="A23" s="16"/>
      <c r="B23" s="16"/>
      <c r="C23" s="16"/>
      <c r="D23" s="16"/>
    </row>
    <row r="24" customFormat="false" ht="18" hidden="false" customHeight="true" outlineLevel="0" collapsed="false">
      <c r="A24" s="11" t="s">
        <v>77</v>
      </c>
      <c r="B24" s="11"/>
      <c r="C24" s="11"/>
      <c r="D24" s="42" t="n">
        <f aca="false">ROUND(SUM(D18:D22)+D17,2)</f>
        <v>74788.74</v>
      </c>
    </row>
    <row r="25" customFormat="false" ht="18" hidden="false" customHeight="true" outlineLevel="0" collapsed="false">
      <c r="A25" s="11" t="s">
        <v>78</v>
      </c>
      <c r="B25" s="11"/>
      <c r="C25" s="11"/>
      <c r="D25" s="40" t="n">
        <f aca="false">IFERROR(IRR(B17:B22),IFERROR(IRR(B17:B22,0.05),0))</f>
        <v>0.132075478566404</v>
      </c>
    </row>
    <row r="26" customFormat="false" ht="18" hidden="false" customHeight="true" outlineLevel="0" collapsed="false">
      <c r="A26" s="11" t="s">
        <v>79</v>
      </c>
      <c r="B26" s="11"/>
      <c r="C26" s="11"/>
      <c r="D26" s="41" t="n">
        <f aca="false">ROUND(SUM(D18:D22),2)</f>
        <v>874788.74</v>
      </c>
    </row>
    <row r="27" customFormat="false" ht="7.5" hidden="false" customHeight="true" outlineLevel="0" collapsed="false"/>
    <row r="28" customFormat="false" ht="19.5" hidden="false" customHeight="true" outlineLevel="0" collapsed="false">
      <c r="A28" s="30" t="s">
        <v>81</v>
      </c>
      <c r="B28" s="30"/>
      <c r="C28" s="30"/>
      <c r="D28" s="30"/>
    </row>
    <row r="29" customFormat="false" ht="18" hidden="false" customHeight="true" outlineLevel="0" collapsed="false">
      <c r="A29" s="17" t="s">
        <v>73</v>
      </c>
      <c r="B29" s="17" t="s">
        <v>74</v>
      </c>
      <c r="C29" s="17" t="s">
        <v>75</v>
      </c>
      <c r="D29" s="17" t="s">
        <v>76</v>
      </c>
    </row>
    <row r="30" customFormat="false" ht="15.75" hidden="false" customHeight="true" outlineLevel="0" collapsed="false">
      <c r="A30" s="31" t="n">
        <v>0</v>
      </c>
      <c r="B30" s="32" t="n">
        <v>-600000</v>
      </c>
      <c r="C30" s="33" t="n">
        <v>1</v>
      </c>
      <c r="D30" s="34" t="n">
        <v>-600000</v>
      </c>
    </row>
    <row r="31" customFormat="false" ht="15.75" hidden="false" customHeight="true" outlineLevel="0" collapsed="false">
      <c r="A31" s="18" t="n">
        <v>1</v>
      </c>
      <c r="B31" s="20" t="n">
        <v>110000</v>
      </c>
      <c r="C31" s="35" t="n">
        <f aca="false">ROUND(1/POWER(1.1,1),10)</f>
        <v>0.9090909091</v>
      </c>
      <c r="D31" s="36" t="n">
        <f aca="false">ROUND(B31*C31,2)</f>
        <v>100000</v>
      </c>
    </row>
    <row r="32" customFormat="false" ht="15.75" hidden="false" customHeight="true" outlineLevel="0" collapsed="false">
      <c r="A32" s="22" t="n">
        <v>2</v>
      </c>
      <c r="B32" s="24" t="n">
        <v>150000</v>
      </c>
      <c r="C32" s="37" t="n">
        <f aca="false">ROUND(1/POWER(1.1,2),10)</f>
        <v>0.826446281</v>
      </c>
      <c r="D32" s="38" t="n">
        <f aca="false">ROUND(B32*C32,2)</f>
        <v>123966.94</v>
      </c>
    </row>
    <row r="33" customFormat="false" ht="15.75" hidden="false" customHeight="true" outlineLevel="0" collapsed="false">
      <c r="A33" s="18" t="n">
        <v>3</v>
      </c>
      <c r="B33" s="20" t="n">
        <v>190000</v>
      </c>
      <c r="C33" s="35" t="n">
        <f aca="false">ROUND(1/POWER(1.1,3),10)</f>
        <v>0.7513148009</v>
      </c>
      <c r="D33" s="36" t="n">
        <f aca="false">ROUND(B33*C33,2)</f>
        <v>142749.81</v>
      </c>
    </row>
    <row r="34" customFormat="false" ht="15.75" hidden="false" customHeight="true" outlineLevel="0" collapsed="false">
      <c r="A34" s="22" t="n">
        <v>4</v>
      </c>
      <c r="B34" s="24" t="n">
        <v>220000</v>
      </c>
      <c r="C34" s="37" t="n">
        <f aca="false">ROUND(1/POWER(1.1,4),10)</f>
        <v>0.6830134554</v>
      </c>
      <c r="D34" s="38" t="n">
        <f aca="false">ROUND(B34*C34,2)</f>
        <v>150262.96</v>
      </c>
    </row>
    <row r="35" customFormat="false" ht="15.75" hidden="false" customHeight="true" outlineLevel="0" collapsed="false">
      <c r="A35" s="18" t="n">
        <v>5</v>
      </c>
      <c r="B35" s="20" t="n">
        <v>250000</v>
      </c>
      <c r="C35" s="35" t="n">
        <f aca="false">ROUND(1/POWER(1.1,5),10)</f>
        <v>0.6209213231</v>
      </c>
      <c r="D35" s="36" t="n">
        <f aca="false">ROUND(B35*C35,2)</f>
        <v>155230.33</v>
      </c>
    </row>
    <row r="36" customFormat="false" ht="15" hidden="false" customHeight="true" outlineLevel="0" collapsed="false">
      <c r="A36" s="16"/>
      <c r="B36" s="16"/>
      <c r="C36" s="16"/>
      <c r="D36" s="16"/>
    </row>
    <row r="37" customFormat="false" ht="18" hidden="false" customHeight="true" outlineLevel="0" collapsed="false">
      <c r="A37" s="11" t="s">
        <v>77</v>
      </c>
      <c r="B37" s="11"/>
      <c r="C37" s="11"/>
      <c r="D37" s="42" t="n">
        <f aca="false">ROUND(SUM(D31:D35)+D30,2)</f>
        <v>72210.04</v>
      </c>
    </row>
    <row r="38" customFormat="false" ht="18" hidden="false" customHeight="true" outlineLevel="0" collapsed="false">
      <c r="A38" s="11" t="s">
        <v>78</v>
      </c>
      <c r="B38" s="11"/>
      <c r="C38" s="11"/>
      <c r="D38" s="40" t="n">
        <f aca="false">IFERROR(IRR(B30:B35),IFERROR(IRR(B30:B35,0.05),0))</f>
        <v>0.140154955961954</v>
      </c>
    </row>
    <row r="39" customFormat="false" ht="18" hidden="false" customHeight="true" outlineLevel="0" collapsed="false">
      <c r="A39" s="11" t="s">
        <v>79</v>
      </c>
      <c r="B39" s="11"/>
      <c r="C39" s="11"/>
      <c r="D39" s="41" t="n">
        <f aca="false">ROUND(SUM(D31:D35),2)</f>
        <v>672210.04</v>
      </c>
    </row>
    <row r="40" customFormat="false" ht="7.5" hidden="false" customHeight="true" outlineLevel="0" collapsed="false"/>
    <row r="41" customFormat="false" ht="19.5" hidden="false" customHeight="true" outlineLevel="0" collapsed="false">
      <c r="A41" s="30" t="s">
        <v>82</v>
      </c>
      <c r="B41" s="30"/>
      <c r="C41" s="30"/>
      <c r="D41" s="30"/>
    </row>
    <row r="42" customFormat="false" ht="18" hidden="false" customHeight="true" outlineLevel="0" collapsed="false">
      <c r="A42" s="17" t="s">
        <v>73</v>
      </c>
      <c r="B42" s="17" t="s">
        <v>74</v>
      </c>
      <c r="C42" s="17" t="s">
        <v>75</v>
      </c>
      <c r="D42" s="17" t="s">
        <v>76</v>
      </c>
    </row>
    <row r="43" customFormat="false" ht="15.75" hidden="false" customHeight="true" outlineLevel="0" collapsed="false">
      <c r="A43" s="31" t="n">
        <v>0</v>
      </c>
      <c r="B43" s="32" t="n">
        <v>-1000000</v>
      </c>
      <c r="C43" s="33" t="n">
        <v>1</v>
      </c>
      <c r="D43" s="34" t="n">
        <v>-1000000</v>
      </c>
    </row>
    <row r="44" customFormat="false" ht="15.75" hidden="false" customHeight="true" outlineLevel="0" collapsed="false">
      <c r="A44" s="18" t="n">
        <v>1</v>
      </c>
      <c r="B44" s="20" t="n">
        <v>80000</v>
      </c>
      <c r="C44" s="35" t="n">
        <f aca="false">ROUND(1/POWER(1.1,1),10)</f>
        <v>0.9090909091</v>
      </c>
      <c r="D44" s="36" t="n">
        <f aca="false">ROUND(B44*C44,2)</f>
        <v>72727.27</v>
      </c>
    </row>
    <row r="45" customFormat="false" ht="15.75" hidden="false" customHeight="true" outlineLevel="0" collapsed="false">
      <c r="A45" s="22" t="n">
        <v>2</v>
      </c>
      <c r="B45" s="24" t="n">
        <v>160000</v>
      </c>
      <c r="C45" s="37" t="n">
        <f aca="false">ROUND(1/POWER(1.1,2),10)</f>
        <v>0.826446281</v>
      </c>
      <c r="D45" s="38" t="n">
        <f aca="false">ROUND(B45*C45,2)</f>
        <v>132231.4</v>
      </c>
    </row>
    <row r="46" customFormat="false" ht="15.75" hidden="false" customHeight="true" outlineLevel="0" collapsed="false">
      <c r="A46" s="18" t="n">
        <v>3</v>
      </c>
      <c r="B46" s="20" t="n">
        <v>260000</v>
      </c>
      <c r="C46" s="35" t="n">
        <f aca="false">ROUND(1/POWER(1.1,3),10)</f>
        <v>0.7513148009</v>
      </c>
      <c r="D46" s="36" t="n">
        <f aca="false">ROUND(B46*C46,2)</f>
        <v>195341.85</v>
      </c>
    </row>
    <row r="47" customFormat="false" ht="15.75" hidden="false" customHeight="true" outlineLevel="0" collapsed="false">
      <c r="A47" s="22" t="n">
        <v>4</v>
      </c>
      <c r="B47" s="24" t="n">
        <v>360000</v>
      </c>
      <c r="C47" s="37" t="n">
        <f aca="false">ROUND(1/POWER(1.1,4),10)</f>
        <v>0.6830134554</v>
      </c>
      <c r="D47" s="38" t="n">
        <f aca="false">ROUND(B47*C47,2)</f>
        <v>245884.84</v>
      </c>
    </row>
    <row r="48" customFormat="false" ht="15.75" hidden="false" customHeight="true" outlineLevel="0" collapsed="false">
      <c r="A48" s="18" t="n">
        <v>5</v>
      </c>
      <c r="B48" s="20" t="n">
        <v>440000</v>
      </c>
      <c r="C48" s="35" t="n">
        <f aca="false">ROUND(1/POWER(1.1,5),10)</f>
        <v>0.6209213231</v>
      </c>
      <c r="D48" s="36" t="n">
        <f aca="false">ROUND(B48*C48,2)</f>
        <v>273205.38</v>
      </c>
    </row>
    <row r="49" customFormat="false" ht="15" hidden="false" customHeight="true" outlineLevel="0" collapsed="false">
      <c r="A49" s="16"/>
      <c r="B49" s="16"/>
      <c r="C49" s="16"/>
      <c r="D49" s="16"/>
    </row>
    <row r="50" customFormat="false" ht="18" hidden="false" customHeight="true" outlineLevel="0" collapsed="false">
      <c r="A50" s="11" t="s">
        <v>77</v>
      </c>
      <c r="B50" s="11"/>
      <c r="C50" s="11"/>
      <c r="D50" s="39" t="n">
        <f aca="false">ROUND(SUM(D44:D48)+D43,2)</f>
        <v>-80609.26</v>
      </c>
    </row>
    <row r="51" customFormat="false" ht="18" hidden="false" customHeight="true" outlineLevel="0" collapsed="false">
      <c r="A51" s="11" t="s">
        <v>78</v>
      </c>
      <c r="B51" s="11"/>
      <c r="C51" s="11"/>
      <c r="D51" s="40" t="n">
        <f aca="false">IFERROR(IRR(B43:B48),IFERROR(IRR(B43:B48,0.05),0))</f>
        <v>0.0744663143016369</v>
      </c>
    </row>
    <row r="52" customFormat="false" ht="18" hidden="false" customHeight="true" outlineLevel="0" collapsed="false">
      <c r="A52" s="11" t="s">
        <v>79</v>
      </c>
      <c r="B52" s="11"/>
      <c r="C52" s="11"/>
      <c r="D52" s="41" t="n">
        <f aca="false">ROUND(SUM(D44:D48),2)</f>
        <v>919390.74</v>
      </c>
    </row>
    <row r="53" customFormat="false" ht="7.5" hidden="false" customHeight="true" outlineLevel="0" collapsed="false"/>
    <row r="54" customFormat="false" ht="19.5" hidden="false" customHeight="true" outlineLevel="0" collapsed="false">
      <c r="A54" s="30" t="s">
        <v>83</v>
      </c>
      <c r="B54" s="30"/>
      <c r="C54" s="30"/>
      <c r="D54" s="30"/>
    </row>
    <row r="55" customFormat="false" ht="18" hidden="false" customHeight="true" outlineLevel="0" collapsed="false">
      <c r="A55" s="17" t="s">
        <v>73</v>
      </c>
      <c r="B55" s="17" t="s">
        <v>74</v>
      </c>
      <c r="C55" s="17" t="s">
        <v>75</v>
      </c>
      <c r="D55" s="17" t="s">
        <v>76</v>
      </c>
    </row>
    <row r="56" customFormat="false" ht="15.75" hidden="false" customHeight="true" outlineLevel="0" collapsed="false">
      <c r="A56" s="31" t="n">
        <v>0</v>
      </c>
      <c r="B56" s="32" t="n">
        <v>-700000</v>
      </c>
      <c r="C56" s="33" t="n">
        <v>1</v>
      </c>
      <c r="D56" s="34" t="n">
        <v>-700000</v>
      </c>
    </row>
    <row r="57" customFormat="false" ht="15.75" hidden="false" customHeight="true" outlineLevel="0" collapsed="false">
      <c r="A57" s="18" t="n">
        <v>1</v>
      </c>
      <c r="B57" s="20" t="n">
        <v>150000</v>
      </c>
      <c r="C57" s="35" t="n">
        <f aca="false">ROUND(1/POWER(1.1,1),10)</f>
        <v>0.9090909091</v>
      </c>
      <c r="D57" s="36" t="n">
        <f aca="false">ROUND(B57*C57,2)</f>
        <v>136363.64</v>
      </c>
    </row>
    <row r="58" customFormat="false" ht="15.75" hidden="false" customHeight="true" outlineLevel="0" collapsed="false">
      <c r="A58" s="22" t="n">
        <v>2</v>
      </c>
      <c r="B58" s="24" t="n">
        <v>180000</v>
      </c>
      <c r="C58" s="37" t="n">
        <f aca="false">ROUND(1/POWER(1.1,2),10)</f>
        <v>0.826446281</v>
      </c>
      <c r="D58" s="38" t="n">
        <f aca="false">ROUND(B58*C58,2)</f>
        <v>148760.33</v>
      </c>
    </row>
    <row r="59" customFormat="false" ht="15.75" hidden="false" customHeight="true" outlineLevel="0" collapsed="false">
      <c r="A59" s="18" t="n">
        <v>3</v>
      </c>
      <c r="B59" s="20" t="n">
        <v>210000</v>
      </c>
      <c r="C59" s="35" t="n">
        <f aca="false">ROUND(1/POWER(1.1,3),10)</f>
        <v>0.7513148009</v>
      </c>
      <c r="D59" s="36" t="n">
        <f aca="false">ROUND(B59*C59,2)</f>
        <v>157776.11</v>
      </c>
    </row>
    <row r="60" customFormat="false" ht="15.75" hidden="false" customHeight="true" outlineLevel="0" collapsed="false">
      <c r="A60" s="22" t="n">
        <v>4</v>
      </c>
      <c r="B60" s="24" t="n">
        <v>230000</v>
      </c>
      <c r="C60" s="37" t="n">
        <f aca="false">ROUND(1/POWER(1.1,4),10)</f>
        <v>0.6830134554</v>
      </c>
      <c r="D60" s="38" t="n">
        <f aca="false">ROUND(B60*C60,2)</f>
        <v>157093.09</v>
      </c>
    </row>
    <row r="61" customFormat="false" ht="15.75" hidden="false" customHeight="true" outlineLevel="0" collapsed="false">
      <c r="A61" s="18" t="n">
        <v>5</v>
      </c>
      <c r="B61" s="20" t="n">
        <v>250000</v>
      </c>
      <c r="C61" s="35" t="n">
        <f aca="false">ROUND(1/POWER(1.1,5),10)</f>
        <v>0.6209213231</v>
      </c>
      <c r="D61" s="36" t="n">
        <f aca="false">ROUND(B61*C61,2)</f>
        <v>155230.33</v>
      </c>
    </row>
    <row r="62" customFormat="false" ht="15" hidden="false" customHeight="true" outlineLevel="0" collapsed="false">
      <c r="A62" s="16"/>
      <c r="B62" s="16"/>
      <c r="C62" s="16"/>
      <c r="D62" s="16"/>
    </row>
    <row r="63" customFormat="false" ht="18" hidden="false" customHeight="true" outlineLevel="0" collapsed="false">
      <c r="A63" s="11" t="s">
        <v>77</v>
      </c>
      <c r="B63" s="11"/>
      <c r="C63" s="11"/>
      <c r="D63" s="42" t="n">
        <f aca="false">ROUND(SUM(D57:D61)+D56,2)</f>
        <v>55223.5</v>
      </c>
    </row>
    <row r="64" customFormat="false" ht="18" hidden="false" customHeight="true" outlineLevel="0" collapsed="false">
      <c r="A64" s="11" t="s">
        <v>78</v>
      </c>
      <c r="B64" s="11"/>
      <c r="C64" s="11"/>
      <c r="D64" s="40" t="n">
        <f aca="false">IFERROR(IRR(B56:B61),IFERROR(IRR(B56:B61,0.05),0))</f>
        <v>0.127852924166425</v>
      </c>
    </row>
    <row r="65" customFormat="false" ht="18" hidden="false" customHeight="true" outlineLevel="0" collapsed="false">
      <c r="A65" s="11" t="s">
        <v>79</v>
      </c>
      <c r="B65" s="11"/>
      <c r="C65" s="11"/>
      <c r="D65" s="41" t="n">
        <f aca="false">ROUND(SUM(D57:D61),2)</f>
        <v>755223.5</v>
      </c>
    </row>
    <row r="66" customFormat="false" ht="7.5" hidden="false" customHeight="true" outlineLevel="0" collapsed="false"/>
    <row r="67" customFormat="false" ht="19.5" hidden="false" customHeight="true" outlineLevel="0" collapsed="false">
      <c r="A67" s="30" t="s">
        <v>84</v>
      </c>
      <c r="B67" s="30"/>
      <c r="C67" s="30"/>
      <c r="D67" s="30"/>
    </row>
    <row r="68" customFormat="false" ht="18" hidden="false" customHeight="true" outlineLevel="0" collapsed="false">
      <c r="A68" s="17" t="s">
        <v>73</v>
      </c>
      <c r="B68" s="17" t="s">
        <v>74</v>
      </c>
      <c r="C68" s="17" t="s">
        <v>75</v>
      </c>
      <c r="D68" s="17" t="s">
        <v>76</v>
      </c>
    </row>
    <row r="69" customFormat="false" ht="15.75" hidden="false" customHeight="true" outlineLevel="0" collapsed="false">
      <c r="A69" s="31" t="n">
        <v>0</v>
      </c>
      <c r="B69" s="32" t="n">
        <v>-400000</v>
      </c>
      <c r="C69" s="33" t="n">
        <v>1</v>
      </c>
      <c r="D69" s="34" t="n">
        <v>-400000</v>
      </c>
    </row>
    <row r="70" customFormat="false" ht="15.75" hidden="false" customHeight="true" outlineLevel="0" collapsed="false">
      <c r="A70" s="18" t="n">
        <v>1</v>
      </c>
      <c r="B70" s="20" t="n">
        <v>90000</v>
      </c>
      <c r="C70" s="35" t="n">
        <f aca="false">ROUND(1/POWER(1.1,1),10)</f>
        <v>0.9090909091</v>
      </c>
      <c r="D70" s="36" t="n">
        <f aca="false">ROUND(B70*C70,2)</f>
        <v>81818.18</v>
      </c>
    </row>
    <row r="71" customFormat="false" ht="15.75" hidden="false" customHeight="true" outlineLevel="0" collapsed="false">
      <c r="A71" s="22" t="n">
        <v>2</v>
      </c>
      <c r="B71" s="24" t="n">
        <v>120000</v>
      </c>
      <c r="C71" s="37" t="n">
        <f aca="false">ROUND(1/POWER(1.1,2),10)</f>
        <v>0.826446281</v>
      </c>
      <c r="D71" s="38" t="n">
        <f aca="false">ROUND(B71*C71,2)</f>
        <v>99173.55</v>
      </c>
    </row>
    <row r="72" customFormat="false" ht="15.75" hidden="false" customHeight="true" outlineLevel="0" collapsed="false">
      <c r="A72" s="18" t="n">
        <v>3</v>
      </c>
      <c r="B72" s="20" t="n">
        <v>150000</v>
      </c>
      <c r="C72" s="35" t="n">
        <f aca="false">ROUND(1/POWER(1.1,3),10)</f>
        <v>0.7513148009</v>
      </c>
      <c r="D72" s="36" t="n">
        <f aca="false">ROUND(B72*C72,2)</f>
        <v>112697.22</v>
      </c>
    </row>
    <row r="73" customFormat="false" ht="15.75" hidden="false" customHeight="true" outlineLevel="0" collapsed="false">
      <c r="A73" s="22" t="n">
        <v>4</v>
      </c>
      <c r="B73" s="24" t="n">
        <v>170000</v>
      </c>
      <c r="C73" s="37" t="n">
        <f aca="false">ROUND(1/POWER(1.1,4),10)</f>
        <v>0.6830134554</v>
      </c>
      <c r="D73" s="38" t="n">
        <f aca="false">ROUND(B73*C73,2)</f>
        <v>116112.29</v>
      </c>
    </row>
    <row r="74" customFormat="false" ht="15.75" hidden="false" customHeight="true" outlineLevel="0" collapsed="false">
      <c r="A74" s="18" t="n">
        <v>5</v>
      </c>
      <c r="B74" s="20" t="n">
        <v>190000</v>
      </c>
      <c r="C74" s="35" t="n">
        <f aca="false">ROUND(1/POWER(1.1,5),10)</f>
        <v>0.6209213231</v>
      </c>
      <c r="D74" s="36" t="n">
        <f aca="false">ROUND(B74*C74,2)</f>
        <v>117975.05</v>
      </c>
    </row>
    <row r="75" customFormat="false" ht="15" hidden="false" customHeight="true" outlineLevel="0" collapsed="false">
      <c r="A75" s="16"/>
      <c r="B75" s="16"/>
      <c r="C75" s="16"/>
      <c r="D75" s="16"/>
    </row>
    <row r="76" customFormat="false" ht="18" hidden="false" customHeight="true" outlineLevel="0" collapsed="false">
      <c r="A76" s="11" t="s">
        <v>77</v>
      </c>
      <c r="B76" s="11"/>
      <c r="C76" s="11"/>
      <c r="D76" s="42" t="n">
        <f aca="false">ROUND(SUM(D70:D74)+D69,2)</f>
        <v>127776.29</v>
      </c>
    </row>
    <row r="77" customFormat="false" ht="18" hidden="false" customHeight="true" outlineLevel="0" collapsed="false">
      <c r="A77" s="11" t="s">
        <v>78</v>
      </c>
      <c r="B77" s="11"/>
      <c r="C77" s="11"/>
      <c r="D77" s="40" t="n">
        <f aca="false">IFERROR(IRR(B69:B74),IFERROR(IRR(B69:B74,0.05),0))</f>
        <v>0.20346789609421</v>
      </c>
    </row>
    <row r="78" customFormat="false" ht="18" hidden="false" customHeight="true" outlineLevel="0" collapsed="false">
      <c r="A78" s="11" t="s">
        <v>79</v>
      </c>
      <c r="B78" s="11"/>
      <c r="C78" s="11"/>
      <c r="D78" s="41" t="n">
        <f aca="false">ROUND(SUM(D70:D74),2)</f>
        <v>527776.29</v>
      </c>
    </row>
    <row r="79" customFormat="false" ht="7.5" hidden="false" customHeight="true" outlineLevel="0" collapsed="false"/>
    <row r="80" customFormat="false" ht="19.5" hidden="false" customHeight="true" outlineLevel="0" collapsed="false">
      <c r="A80" s="30" t="s">
        <v>85</v>
      </c>
      <c r="B80" s="30"/>
      <c r="C80" s="30"/>
      <c r="D80" s="30"/>
    </row>
    <row r="81" customFormat="false" ht="18" hidden="false" customHeight="true" outlineLevel="0" collapsed="false">
      <c r="A81" s="17" t="s">
        <v>73</v>
      </c>
      <c r="B81" s="17" t="s">
        <v>74</v>
      </c>
      <c r="C81" s="17" t="s">
        <v>75</v>
      </c>
      <c r="D81" s="17" t="s">
        <v>76</v>
      </c>
    </row>
    <row r="82" customFormat="false" ht="15.75" hidden="false" customHeight="true" outlineLevel="0" collapsed="false">
      <c r="A82" s="31" t="n">
        <v>0</v>
      </c>
      <c r="B82" s="32" t="n">
        <v>-500000</v>
      </c>
      <c r="C82" s="33" t="n">
        <v>1</v>
      </c>
      <c r="D82" s="34" t="n">
        <v>-500000</v>
      </c>
    </row>
    <row r="83" customFormat="false" ht="15.75" hidden="false" customHeight="true" outlineLevel="0" collapsed="false">
      <c r="A83" s="18" t="n">
        <v>1</v>
      </c>
      <c r="B83" s="20" t="n">
        <v>100000</v>
      </c>
      <c r="C83" s="35" t="n">
        <f aca="false">ROUND(1/POWER(1.1,1),10)</f>
        <v>0.9090909091</v>
      </c>
      <c r="D83" s="36" t="n">
        <f aca="false">ROUND(B83*C83,2)</f>
        <v>90909.09</v>
      </c>
    </row>
    <row r="84" customFormat="false" ht="15.75" hidden="false" customHeight="true" outlineLevel="0" collapsed="false">
      <c r="A84" s="22" t="n">
        <v>2</v>
      </c>
      <c r="B84" s="24" t="n">
        <v>140000</v>
      </c>
      <c r="C84" s="37" t="n">
        <f aca="false">ROUND(1/POWER(1.1,2),10)</f>
        <v>0.826446281</v>
      </c>
      <c r="D84" s="38" t="n">
        <f aca="false">ROUND(B84*C84,2)</f>
        <v>115702.48</v>
      </c>
    </row>
    <row r="85" customFormat="false" ht="15.75" hidden="false" customHeight="true" outlineLevel="0" collapsed="false">
      <c r="A85" s="18" t="n">
        <v>3</v>
      </c>
      <c r="B85" s="20" t="n">
        <v>175000</v>
      </c>
      <c r="C85" s="35" t="n">
        <f aca="false">ROUND(1/POWER(1.1,3),10)</f>
        <v>0.7513148009</v>
      </c>
      <c r="D85" s="36" t="n">
        <f aca="false">ROUND(B85*C85,2)</f>
        <v>131480.09</v>
      </c>
    </row>
    <row r="86" customFormat="false" ht="15.75" hidden="false" customHeight="true" outlineLevel="0" collapsed="false">
      <c r="A86" s="22" t="n">
        <v>4</v>
      </c>
      <c r="B86" s="24" t="n">
        <v>200000</v>
      </c>
      <c r="C86" s="37" t="n">
        <f aca="false">ROUND(1/POWER(1.1,4),10)</f>
        <v>0.6830134554</v>
      </c>
      <c r="D86" s="38" t="n">
        <f aca="false">ROUND(B86*C86,2)</f>
        <v>136602.69</v>
      </c>
    </row>
    <row r="87" customFormat="false" ht="15.75" hidden="false" customHeight="true" outlineLevel="0" collapsed="false">
      <c r="A87" s="18" t="n">
        <v>5</v>
      </c>
      <c r="B87" s="20" t="n">
        <v>220000</v>
      </c>
      <c r="C87" s="35" t="n">
        <f aca="false">ROUND(1/POWER(1.1,5),10)</f>
        <v>0.6209213231</v>
      </c>
      <c r="D87" s="36" t="n">
        <f aca="false">ROUND(B87*C87,2)</f>
        <v>136602.69</v>
      </c>
    </row>
    <row r="88" customFormat="false" ht="15" hidden="false" customHeight="true" outlineLevel="0" collapsed="false">
      <c r="A88" s="16"/>
      <c r="B88" s="16"/>
      <c r="C88" s="16"/>
      <c r="D88" s="16"/>
    </row>
    <row r="89" customFormat="false" ht="18" hidden="false" customHeight="true" outlineLevel="0" collapsed="false">
      <c r="A89" s="11" t="s">
        <v>77</v>
      </c>
      <c r="B89" s="11"/>
      <c r="C89" s="11"/>
      <c r="D89" s="42" t="n">
        <f aca="false">ROUND(SUM(D83:D87)+D82,2)</f>
        <v>111297.04</v>
      </c>
    </row>
    <row r="90" customFormat="false" ht="18" hidden="false" customHeight="true" outlineLevel="0" collapsed="false">
      <c r="A90" s="11" t="s">
        <v>78</v>
      </c>
      <c r="B90" s="11"/>
      <c r="C90" s="11"/>
      <c r="D90" s="40" t="n">
        <f aca="false">IFERROR(IRR(B82:B87),IFERROR(IRR(B82:B87,0.05),0))</f>
        <v>0.173107002347118</v>
      </c>
    </row>
    <row r="91" customFormat="false" ht="18" hidden="false" customHeight="true" outlineLevel="0" collapsed="false">
      <c r="A91" s="11" t="s">
        <v>79</v>
      </c>
      <c r="B91" s="11"/>
      <c r="C91" s="11"/>
      <c r="D91" s="41" t="n">
        <f aca="false">ROUND(SUM(D83:D87),2)</f>
        <v>611297.04</v>
      </c>
    </row>
    <row r="92" customFormat="false" ht="7.5" hidden="false" customHeight="true" outlineLevel="0" collapsed="false"/>
    <row r="93" customFormat="false" ht="19.5" hidden="false" customHeight="true" outlineLevel="0" collapsed="false">
      <c r="A93" s="30" t="s">
        <v>86</v>
      </c>
      <c r="B93" s="30"/>
      <c r="C93" s="30"/>
      <c r="D93" s="30"/>
    </row>
    <row r="94" customFormat="false" ht="18" hidden="false" customHeight="true" outlineLevel="0" collapsed="false">
      <c r="A94" s="17" t="s">
        <v>73</v>
      </c>
      <c r="B94" s="17" t="s">
        <v>74</v>
      </c>
      <c r="C94" s="17" t="s">
        <v>75</v>
      </c>
      <c r="D94" s="17" t="s">
        <v>76</v>
      </c>
    </row>
    <row r="95" customFormat="false" ht="15.75" hidden="false" customHeight="true" outlineLevel="0" collapsed="false">
      <c r="A95" s="31" t="n">
        <v>0</v>
      </c>
      <c r="B95" s="32" t="n">
        <v>-1500000</v>
      </c>
      <c r="C95" s="33" t="n">
        <v>1</v>
      </c>
      <c r="D95" s="34" t="n">
        <v>-1500000</v>
      </c>
    </row>
    <row r="96" customFormat="false" ht="15.75" hidden="false" customHeight="true" outlineLevel="0" collapsed="false">
      <c r="A96" s="18" t="n">
        <v>1</v>
      </c>
      <c r="B96" s="20" t="n">
        <v>120000</v>
      </c>
      <c r="C96" s="35" t="n">
        <f aca="false">ROUND(1/POWER(1.1,1),10)</f>
        <v>0.9090909091</v>
      </c>
      <c r="D96" s="36" t="n">
        <f aca="false">ROUND(B96*C96,2)</f>
        <v>109090.91</v>
      </c>
    </row>
    <row r="97" customFormat="false" ht="15.75" hidden="false" customHeight="true" outlineLevel="0" collapsed="false">
      <c r="A97" s="22" t="n">
        <v>2</v>
      </c>
      <c r="B97" s="24" t="n">
        <v>250000</v>
      </c>
      <c r="C97" s="37" t="n">
        <f aca="false">ROUND(1/POWER(1.1,2),10)</f>
        <v>0.826446281</v>
      </c>
      <c r="D97" s="38" t="n">
        <f aca="false">ROUND(B97*C97,2)</f>
        <v>206611.57</v>
      </c>
    </row>
    <row r="98" customFormat="false" ht="15.75" hidden="false" customHeight="true" outlineLevel="0" collapsed="false">
      <c r="A98" s="18" t="n">
        <v>3</v>
      </c>
      <c r="B98" s="20" t="n">
        <v>400000</v>
      </c>
      <c r="C98" s="35" t="n">
        <f aca="false">ROUND(1/POWER(1.1,3),10)</f>
        <v>0.7513148009</v>
      </c>
      <c r="D98" s="36" t="n">
        <f aca="false">ROUND(B98*C98,2)</f>
        <v>300525.92</v>
      </c>
    </row>
    <row r="99" customFormat="false" ht="15.75" hidden="false" customHeight="true" outlineLevel="0" collapsed="false">
      <c r="A99" s="22" t="n">
        <v>4</v>
      </c>
      <c r="B99" s="24" t="n">
        <v>550000</v>
      </c>
      <c r="C99" s="37" t="n">
        <f aca="false">ROUND(1/POWER(1.1,4),10)</f>
        <v>0.6830134554</v>
      </c>
      <c r="D99" s="38" t="n">
        <f aca="false">ROUND(B99*C99,2)</f>
        <v>375657.4</v>
      </c>
    </row>
    <row r="100" customFormat="false" ht="15.75" hidden="false" customHeight="true" outlineLevel="0" collapsed="false">
      <c r="A100" s="18" t="n">
        <v>5</v>
      </c>
      <c r="B100" s="20" t="n">
        <v>700000</v>
      </c>
      <c r="C100" s="35" t="n">
        <f aca="false">ROUND(1/POWER(1.1,5),10)</f>
        <v>0.6209213231</v>
      </c>
      <c r="D100" s="36" t="n">
        <f aca="false">ROUND(B100*C100,2)</f>
        <v>434644.93</v>
      </c>
    </row>
    <row r="101" customFormat="false" ht="15" hidden="false" customHeight="true" outlineLevel="0" collapsed="false">
      <c r="A101" s="16"/>
      <c r="B101" s="16"/>
      <c r="C101" s="16"/>
      <c r="D101" s="16"/>
    </row>
    <row r="102" customFormat="false" ht="18" hidden="false" customHeight="true" outlineLevel="0" collapsed="false">
      <c r="A102" s="11" t="s">
        <v>77</v>
      </c>
      <c r="B102" s="11"/>
      <c r="C102" s="11"/>
      <c r="D102" s="39" t="n">
        <f aca="false">ROUND(SUM(D96:D100)+D95,2)</f>
        <v>-73469.27</v>
      </c>
    </row>
    <row r="103" customFormat="false" ht="18" hidden="false" customHeight="true" outlineLevel="0" collapsed="false">
      <c r="A103" s="11" t="s">
        <v>78</v>
      </c>
      <c r="B103" s="11"/>
      <c r="C103" s="11"/>
      <c r="D103" s="40" t="n">
        <f aca="false">IFERROR(IRR(B95:B100),IFERROR(IRR(B95:B100,0.05),0))</f>
        <v>0.0847030427527464</v>
      </c>
    </row>
    <row r="104" customFormat="false" ht="18" hidden="false" customHeight="true" outlineLevel="0" collapsed="false">
      <c r="A104" s="11" t="s">
        <v>79</v>
      </c>
      <c r="B104" s="11"/>
      <c r="C104" s="11"/>
      <c r="D104" s="41" t="n">
        <f aca="false">ROUND(SUM(D96:D100),2)</f>
        <v>1426530.73</v>
      </c>
    </row>
    <row r="105" customFormat="false" ht="7.5" hidden="false" customHeight="true" outlineLevel="0" collapsed="false"/>
  </sheetData>
  <mergeCells count="33">
    <mergeCell ref="A1:D1"/>
    <mergeCell ref="A2:D2"/>
    <mergeCell ref="A11:C11"/>
    <mergeCell ref="A12:C12"/>
    <mergeCell ref="A13:C13"/>
    <mergeCell ref="A15:D15"/>
    <mergeCell ref="A24:C24"/>
    <mergeCell ref="A25:C25"/>
    <mergeCell ref="A26:C26"/>
    <mergeCell ref="A28:D28"/>
    <mergeCell ref="A37:C37"/>
    <mergeCell ref="A38:C38"/>
    <mergeCell ref="A39:C39"/>
    <mergeCell ref="A41:D41"/>
    <mergeCell ref="A50:C50"/>
    <mergeCell ref="A51:C51"/>
    <mergeCell ref="A52:C52"/>
    <mergeCell ref="A54:D54"/>
    <mergeCell ref="A63:C63"/>
    <mergeCell ref="A64:C64"/>
    <mergeCell ref="A65:C65"/>
    <mergeCell ref="A67:D67"/>
    <mergeCell ref="A76:C76"/>
    <mergeCell ref="A77:C77"/>
    <mergeCell ref="A78:C78"/>
    <mergeCell ref="A80:D80"/>
    <mergeCell ref="A89:C89"/>
    <mergeCell ref="A90:C90"/>
    <mergeCell ref="A91:C91"/>
    <mergeCell ref="A93:D93"/>
    <mergeCell ref="A102:C102"/>
    <mergeCell ref="A103:C103"/>
    <mergeCell ref="A104:C10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145"/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15"/>
    <col collapsed="false" customWidth="true" hidden="false" outlineLevel="0" max="4" min="4" style="1" width="13"/>
    <col collapsed="false" customWidth="true" hidden="false" outlineLevel="0" max="6" min="5" style="1" width="11"/>
    <col collapsed="false" customWidth="true" hidden="false" outlineLevel="0" max="7" min="7" style="1" width="13"/>
    <col collapsed="false" customWidth="true" hidden="false" outlineLevel="0" max="8" min="8" style="1" width="14"/>
  </cols>
  <sheetData>
    <row r="1" customFormat="false" ht="25.5" hidden="false" customHeight="true" outlineLevel="0" collapsed="false">
      <c r="A1" s="10" t="s">
        <v>87</v>
      </c>
      <c r="B1" s="10"/>
      <c r="C1" s="10"/>
      <c r="D1" s="10"/>
      <c r="E1" s="10"/>
      <c r="F1" s="10"/>
      <c r="G1" s="10"/>
      <c r="H1" s="10"/>
    </row>
    <row r="2" customFormat="false" ht="19.5" hidden="false" customHeight="true" outlineLevel="0" collapsed="false">
      <c r="A2" s="17" t="s">
        <v>42</v>
      </c>
      <c r="B2" s="17" t="s">
        <v>43</v>
      </c>
      <c r="C2" s="17" t="s">
        <v>88</v>
      </c>
      <c r="D2" s="17" t="s">
        <v>89</v>
      </c>
      <c r="E2" s="17" t="s">
        <v>90</v>
      </c>
      <c r="F2" s="17" t="s">
        <v>91</v>
      </c>
      <c r="G2" s="17" t="s">
        <v>92</v>
      </c>
      <c r="H2" s="17" t="s">
        <v>93</v>
      </c>
    </row>
    <row r="3" customFormat="false" ht="18" hidden="false" customHeight="true" outlineLevel="0" collapsed="false">
      <c r="A3" s="19" t="s">
        <v>51</v>
      </c>
      <c r="B3" s="20" t="n">
        <v>1200000</v>
      </c>
      <c r="C3" s="43" t="n">
        <v>-68999.26</v>
      </c>
      <c r="D3" s="44" t="n">
        <v>0.0801</v>
      </c>
      <c r="E3" s="45" t="n">
        <v>6</v>
      </c>
      <c r="F3" s="45" t="n">
        <v>7</v>
      </c>
      <c r="G3" s="46" t="n">
        <v>-0.0199</v>
      </c>
      <c r="H3" s="21" t="s">
        <v>94</v>
      </c>
    </row>
    <row r="4" customFormat="false" ht="18" hidden="false" customHeight="true" outlineLevel="0" collapsed="false">
      <c r="A4" s="23" t="s">
        <v>54</v>
      </c>
      <c r="B4" s="24" t="n">
        <v>800000</v>
      </c>
      <c r="C4" s="47" t="n">
        <v>74788.73</v>
      </c>
      <c r="D4" s="48" t="n">
        <v>0.1321</v>
      </c>
      <c r="E4" s="49" t="n">
        <v>3</v>
      </c>
      <c r="F4" s="49" t="n">
        <v>4</v>
      </c>
      <c r="G4" s="50" t="n">
        <v>0.0321</v>
      </c>
      <c r="H4" s="26" t="s">
        <v>95</v>
      </c>
    </row>
    <row r="5" customFormat="false" ht="18" hidden="false" customHeight="true" outlineLevel="0" collapsed="false">
      <c r="A5" s="19" t="s">
        <v>57</v>
      </c>
      <c r="B5" s="20" t="n">
        <v>600000</v>
      </c>
      <c r="C5" s="51" t="n">
        <v>72210.05</v>
      </c>
      <c r="D5" s="44" t="n">
        <v>0.1402</v>
      </c>
      <c r="E5" s="45" t="n">
        <v>4</v>
      </c>
      <c r="F5" s="45" t="n">
        <v>3</v>
      </c>
      <c r="G5" s="46" t="n">
        <v>0.0402</v>
      </c>
      <c r="H5" s="26" t="s">
        <v>95</v>
      </c>
    </row>
    <row r="6" customFormat="false" ht="18" hidden="false" customHeight="true" outlineLevel="0" collapsed="false">
      <c r="A6" s="23" t="s">
        <v>59</v>
      </c>
      <c r="B6" s="24" t="n">
        <v>1000000</v>
      </c>
      <c r="C6" s="52" t="n">
        <v>-80609.25</v>
      </c>
      <c r="D6" s="48" t="n">
        <v>0.0745</v>
      </c>
      <c r="E6" s="49" t="n">
        <v>8</v>
      </c>
      <c r="F6" s="49" t="n">
        <v>8</v>
      </c>
      <c r="G6" s="50" t="n">
        <v>-0.0255</v>
      </c>
      <c r="H6" s="21" t="s">
        <v>94</v>
      </c>
    </row>
    <row r="7" customFormat="false" ht="18" hidden="false" customHeight="true" outlineLevel="0" collapsed="false">
      <c r="A7" s="19" t="s">
        <v>61</v>
      </c>
      <c r="B7" s="20" t="n">
        <v>700000</v>
      </c>
      <c r="C7" s="51" t="n">
        <v>55223.5</v>
      </c>
      <c r="D7" s="44" t="n">
        <v>0.1279</v>
      </c>
      <c r="E7" s="45" t="n">
        <v>5</v>
      </c>
      <c r="F7" s="45" t="n">
        <v>5</v>
      </c>
      <c r="G7" s="46" t="n">
        <v>0.0279</v>
      </c>
      <c r="H7" s="26" t="s">
        <v>95</v>
      </c>
    </row>
    <row r="8" customFormat="false" ht="18" hidden="false" customHeight="true" outlineLevel="0" collapsed="false">
      <c r="A8" s="23" t="s">
        <v>64</v>
      </c>
      <c r="B8" s="24" t="n">
        <v>400000</v>
      </c>
      <c r="C8" s="47" t="n">
        <v>127776.29</v>
      </c>
      <c r="D8" s="48" t="n">
        <v>0.2035</v>
      </c>
      <c r="E8" s="49" t="n">
        <v>1</v>
      </c>
      <c r="F8" s="49" t="n">
        <v>1</v>
      </c>
      <c r="G8" s="50" t="n">
        <v>0.1035</v>
      </c>
      <c r="H8" s="26" t="s">
        <v>95</v>
      </c>
    </row>
    <row r="9" customFormat="false" ht="18" hidden="false" customHeight="true" outlineLevel="0" collapsed="false">
      <c r="A9" s="19" t="s">
        <v>66</v>
      </c>
      <c r="B9" s="20" t="n">
        <v>500000</v>
      </c>
      <c r="C9" s="51" t="n">
        <v>111297.04</v>
      </c>
      <c r="D9" s="44" t="n">
        <v>0.1731</v>
      </c>
      <c r="E9" s="45" t="n">
        <v>2</v>
      </c>
      <c r="F9" s="45" t="n">
        <v>2</v>
      </c>
      <c r="G9" s="46" t="n">
        <v>0.0731</v>
      </c>
      <c r="H9" s="26" t="s">
        <v>95</v>
      </c>
    </row>
    <row r="10" customFormat="false" ht="18" hidden="false" customHeight="true" outlineLevel="0" collapsed="false">
      <c r="A10" s="23" t="s">
        <v>67</v>
      </c>
      <c r="B10" s="24" t="n">
        <v>1500000</v>
      </c>
      <c r="C10" s="52" t="n">
        <v>-73469.27</v>
      </c>
      <c r="D10" s="48" t="n">
        <v>0.0847</v>
      </c>
      <c r="E10" s="49" t="n">
        <v>7</v>
      </c>
      <c r="F10" s="49" t="n">
        <v>6</v>
      </c>
      <c r="G10" s="50" t="n">
        <v>-0.0153</v>
      </c>
      <c r="H10" s="21" t="s">
        <v>94</v>
      </c>
    </row>
    <row r="11" customFormat="false" ht="18" hidden="false" customHeight="true" outlineLevel="0" collapsed="false">
      <c r="A11" s="6" t="s">
        <v>96</v>
      </c>
      <c r="B11" s="6"/>
      <c r="C11" s="6"/>
      <c r="D11" s="6"/>
    </row>
    <row r="12" customFormat="false" ht="18" hidden="false" customHeight="true" outlineLevel="0" collapsed="false">
      <c r="A12" s="4" t="s">
        <v>97</v>
      </c>
      <c r="B12" s="53" t="s">
        <v>64</v>
      </c>
    </row>
    <row r="13" customFormat="false" ht="18" hidden="false" customHeight="true" outlineLevel="0" collapsed="false">
      <c r="A13" s="4" t="s">
        <v>98</v>
      </c>
      <c r="B13" s="53" t="s">
        <v>64</v>
      </c>
    </row>
    <row r="14" customFormat="false" ht="18" hidden="false" customHeight="true" outlineLevel="0" collapsed="false">
      <c r="A14" s="4" t="s">
        <v>99</v>
      </c>
      <c r="B14" s="54" t="n">
        <v>218217.09</v>
      </c>
    </row>
    <row r="15" customFormat="false" ht="18" hidden="false" customHeight="true" outlineLevel="0" collapsed="false">
      <c r="A15" s="4" t="s">
        <v>100</v>
      </c>
      <c r="B15" s="55" t="n">
        <v>5</v>
      </c>
    </row>
    <row r="16" customFormat="false" ht="18" hidden="false" customHeight="true" outlineLevel="0" collapsed="false">
      <c r="A16" s="4" t="s">
        <v>101</v>
      </c>
      <c r="B16" s="56" t="n">
        <v>3</v>
      </c>
    </row>
  </sheetData>
  <mergeCells count="2">
    <mergeCell ref="A1:H1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145"/>
    <pageSetUpPr fitToPage="false"/>
  </sheetPr>
  <dimension ref="A1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4" min="4" style="1" width="16"/>
    <col collapsed="false" customWidth="true" hidden="false" outlineLevel="0" max="5" min="5" style="1" width="12"/>
  </cols>
  <sheetData>
    <row r="1" customFormat="false" ht="25.5" hidden="false" customHeight="true" outlineLevel="0" collapsed="false">
      <c r="A1" s="10" t="s">
        <v>102</v>
      </c>
      <c r="B1" s="10"/>
      <c r="C1" s="10"/>
    </row>
    <row r="3" customFormat="false" ht="18" hidden="false" customHeight="true" outlineLevel="0" collapsed="false">
      <c r="A3" s="6" t="s">
        <v>103</v>
      </c>
      <c r="B3" s="6"/>
      <c r="C3" s="6"/>
    </row>
    <row r="4" customFormat="false" ht="18" hidden="false" customHeight="true" outlineLevel="0" collapsed="false">
      <c r="A4" s="17" t="s">
        <v>104</v>
      </c>
      <c r="B4" s="17" t="s">
        <v>105</v>
      </c>
      <c r="C4" s="17" t="s">
        <v>106</v>
      </c>
    </row>
    <row r="5" customFormat="false" ht="18" hidden="false" customHeight="true" outlineLevel="0" collapsed="false">
      <c r="A5" s="19" t="s">
        <v>51</v>
      </c>
      <c r="B5" s="57" t="n">
        <v>4.1</v>
      </c>
      <c r="C5" s="21" t="s">
        <v>107</v>
      </c>
    </row>
    <row r="6" customFormat="false" ht="18" hidden="false" customHeight="true" outlineLevel="0" collapsed="false">
      <c r="A6" s="23" t="s">
        <v>54</v>
      </c>
      <c r="B6" s="58" t="n">
        <v>3.6</v>
      </c>
      <c r="C6" s="26" t="s">
        <v>108</v>
      </c>
    </row>
    <row r="7" customFormat="false" ht="18" hidden="false" customHeight="true" outlineLevel="0" collapsed="false">
      <c r="A7" s="19" t="s">
        <v>57</v>
      </c>
      <c r="B7" s="57" t="n">
        <v>3.3</v>
      </c>
      <c r="C7" s="26" t="s">
        <v>108</v>
      </c>
    </row>
    <row r="8" customFormat="false" ht="18" hidden="false" customHeight="true" outlineLevel="0" collapsed="false">
      <c r="A8" s="23" t="s">
        <v>59</v>
      </c>
      <c r="B8" s="58" t="n">
        <v>4.8</v>
      </c>
      <c r="C8" s="21" t="s">
        <v>107</v>
      </c>
    </row>
    <row r="9" customFormat="false" ht="18" hidden="false" customHeight="true" outlineLevel="0" collapsed="false">
      <c r="A9" s="19" t="s">
        <v>61</v>
      </c>
      <c r="B9" s="57" t="n">
        <v>3.8</v>
      </c>
      <c r="C9" s="26" t="s">
        <v>108</v>
      </c>
    </row>
    <row r="10" customFormat="false" ht="18" hidden="false" customHeight="true" outlineLevel="0" collapsed="false">
      <c r="A10" s="23" t="s">
        <v>64</v>
      </c>
      <c r="B10" s="58" t="n">
        <v>2.8</v>
      </c>
      <c r="C10" s="26" t="s">
        <v>108</v>
      </c>
    </row>
    <row r="11" customFormat="false" ht="18" hidden="false" customHeight="true" outlineLevel="0" collapsed="false">
      <c r="A11" s="19" t="s">
        <v>66</v>
      </c>
      <c r="B11" s="57" t="n">
        <v>3.1</v>
      </c>
      <c r="C11" s="26" t="s">
        <v>108</v>
      </c>
    </row>
    <row r="12" customFormat="false" ht="18" hidden="false" customHeight="true" outlineLevel="0" collapsed="false">
      <c r="A12" s="23" t="s">
        <v>67</v>
      </c>
      <c r="B12" s="58" t="n">
        <v>5.2</v>
      </c>
      <c r="C12" s="21" t="s">
        <v>107</v>
      </c>
    </row>
    <row r="14" customFormat="false" ht="7.5" hidden="false" customHeight="true" outlineLevel="0" collapsed="false"/>
    <row r="15" customFormat="false" ht="18" hidden="false" customHeight="true" outlineLevel="0" collapsed="false">
      <c r="A15" s="6" t="s">
        <v>109</v>
      </c>
      <c r="B15" s="6"/>
      <c r="C15" s="6"/>
      <c r="D15" s="6"/>
    </row>
    <row r="16" customFormat="false" ht="18" hidden="false" customHeight="true" outlineLevel="0" collapsed="false">
      <c r="A16" s="17" t="s">
        <v>73</v>
      </c>
      <c r="B16" s="17" t="s">
        <v>74</v>
      </c>
      <c r="C16" s="17" t="s">
        <v>110</v>
      </c>
      <c r="D16" s="17" t="s">
        <v>111</v>
      </c>
    </row>
    <row r="17" customFormat="false" ht="15.75" hidden="false" customHeight="true" outlineLevel="0" collapsed="false">
      <c r="A17" s="18" t="n">
        <v>0</v>
      </c>
      <c r="B17" s="20" t="n">
        <v>-1200000</v>
      </c>
      <c r="C17" s="43" t="n">
        <v>-1200000</v>
      </c>
      <c r="D17" s="21" t="s">
        <v>112</v>
      </c>
    </row>
    <row r="18" customFormat="false" ht="15.75" hidden="false" customHeight="true" outlineLevel="0" collapsed="false">
      <c r="A18" s="22" t="n">
        <v>1</v>
      </c>
      <c r="B18" s="38" t="n">
        <v>180000</v>
      </c>
      <c r="C18" s="52" t="n">
        <v>-1020000</v>
      </c>
      <c r="D18" s="21" t="s">
        <v>112</v>
      </c>
    </row>
    <row r="19" customFormat="false" ht="15.75" hidden="false" customHeight="true" outlineLevel="0" collapsed="false">
      <c r="A19" s="18" t="n">
        <v>2</v>
      </c>
      <c r="B19" s="36" t="n">
        <v>250000</v>
      </c>
      <c r="C19" s="43" t="n">
        <v>-770000</v>
      </c>
      <c r="D19" s="21" t="s">
        <v>112</v>
      </c>
    </row>
    <row r="20" customFormat="false" ht="15.75" hidden="false" customHeight="true" outlineLevel="0" collapsed="false">
      <c r="A20" s="22" t="n">
        <v>3</v>
      </c>
      <c r="B20" s="38" t="n">
        <v>320000</v>
      </c>
      <c r="C20" s="52" t="n">
        <v>-450000</v>
      </c>
      <c r="D20" s="21" t="s">
        <v>112</v>
      </c>
    </row>
    <row r="21" customFormat="false" ht="15.75" hidden="false" customHeight="true" outlineLevel="0" collapsed="false">
      <c r="A21" s="18" t="n">
        <v>4</v>
      </c>
      <c r="B21" s="36" t="n">
        <v>380000</v>
      </c>
      <c r="C21" s="43" t="n">
        <v>-70000</v>
      </c>
      <c r="D21" s="21" t="s">
        <v>112</v>
      </c>
    </row>
    <row r="22" customFormat="false" ht="15.75" hidden="false" customHeight="true" outlineLevel="0" collapsed="false">
      <c r="A22" s="22" t="n">
        <v>5</v>
      </c>
      <c r="B22" s="38" t="n">
        <v>420000</v>
      </c>
      <c r="C22" s="47" t="n">
        <v>350000</v>
      </c>
      <c r="D22" s="26" t="s">
        <v>113</v>
      </c>
    </row>
    <row r="24" customFormat="false" ht="7.5" hidden="false" customHeight="true" outlineLevel="0" collapsed="false"/>
    <row r="25" customFormat="false" ht="18" hidden="false" customHeight="true" outlineLevel="0" collapsed="false">
      <c r="A25" s="6" t="s">
        <v>114</v>
      </c>
      <c r="B25" s="6"/>
      <c r="C25" s="6"/>
      <c r="D25" s="6"/>
      <c r="E25" s="6"/>
    </row>
    <row r="26" customFormat="false" ht="18" hidden="false" customHeight="true" outlineLevel="0" collapsed="false">
      <c r="A26" s="17" t="s">
        <v>104</v>
      </c>
      <c r="B26" s="17" t="s">
        <v>115</v>
      </c>
      <c r="C26" s="17" t="s">
        <v>43</v>
      </c>
      <c r="D26" s="17" t="s">
        <v>116</v>
      </c>
      <c r="E26" s="17" t="s">
        <v>117</v>
      </c>
    </row>
    <row r="27" customFormat="false" ht="18" hidden="false" customHeight="true" outlineLevel="0" collapsed="false">
      <c r="A27" s="19" t="s">
        <v>51</v>
      </c>
      <c r="B27" s="36" t="n">
        <v>1550000</v>
      </c>
      <c r="C27" s="20" t="n">
        <v>1200000</v>
      </c>
      <c r="D27" s="36" t="n">
        <v>350000</v>
      </c>
      <c r="E27" s="59" t="n">
        <v>0.291666666666667</v>
      </c>
    </row>
    <row r="28" customFormat="false" ht="18" hidden="false" customHeight="true" outlineLevel="0" collapsed="false">
      <c r="A28" s="23" t="s">
        <v>54</v>
      </c>
      <c r="B28" s="38" t="n">
        <v>1190000</v>
      </c>
      <c r="C28" s="24" t="n">
        <v>800000</v>
      </c>
      <c r="D28" s="38" t="n">
        <v>390000</v>
      </c>
      <c r="E28" s="60" t="n">
        <v>0.4875</v>
      </c>
    </row>
    <row r="29" customFormat="false" ht="18" hidden="false" customHeight="true" outlineLevel="0" collapsed="false">
      <c r="A29" s="19" t="s">
        <v>57</v>
      </c>
      <c r="B29" s="36" t="n">
        <v>920000</v>
      </c>
      <c r="C29" s="20" t="n">
        <v>600000</v>
      </c>
      <c r="D29" s="36" t="n">
        <v>320000</v>
      </c>
      <c r="E29" s="59" t="n">
        <v>0.533333333333333</v>
      </c>
    </row>
    <row r="30" customFormat="false" ht="18" hidden="false" customHeight="true" outlineLevel="0" collapsed="false">
      <c r="A30" s="23" t="s">
        <v>59</v>
      </c>
      <c r="B30" s="38" t="n">
        <v>1300000</v>
      </c>
      <c r="C30" s="24" t="n">
        <v>1000000</v>
      </c>
      <c r="D30" s="38" t="n">
        <v>300000</v>
      </c>
      <c r="E30" s="60" t="n">
        <v>0.3</v>
      </c>
    </row>
    <row r="31" customFormat="false" ht="18" hidden="false" customHeight="true" outlineLevel="0" collapsed="false">
      <c r="A31" s="19" t="s">
        <v>61</v>
      </c>
      <c r="B31" s="36" t="n">
        <v>1020000</v>
      </c>
      <c r="C31" s="20" t="n">
        <v>700000</v>
      </c>
      <c r="D31" s="36" t="n">
        <v>320000</v>
      </c>
      <c r="E31" s="59" t="n">
        <v>0.457142857142857</v>
      </c>
    </row>
    <row r="32" customFormat="false" ht="18" hidden="false" customHeight="true" outlineLevel="0" collapsed="false">
      <c r="A32" s="23" t="s">
        <v>64</v>
      </c>
      <c r="B32" s="38" t="n">
        <v>720000</v>
      </c>
      <c r="C32" s="24" t="n">
        <v>400000</v>
      </c>
      <c r="D32" s="38" t="n">
        <v>320000</v>
      </c>
      <c r="E32" s="60" t="n">
        <v>0.8</v>
      </c>
    </row>
    <row r="33" customFormat="false" ht="18" hidden="false" customHeight="true" outlineLevel="0" collapsed="false">
      <c r="A33" s="19" t="s">
        <v>66</v>
      </c>
      <c r="B33" s="36" t="n">
        <v>835000</v>
      </c>
      <c r="C33" s="20" t="n">
        <v>500000</v>
      </c>
      <c r="D33" s="36" t="n">
        <v>335000</v>
      </c>
      <c r="E33" s="59" t="n">
        <v>0.67</v>
      </c>
    </row>
    <row r="34" customFormat="false" ht="18" hidden="false" customHeight="true" outlineLevel="0" collapsed="false">
      <c r="A34" s="23" t="s">
        <v>67</v>
      </c>
      <c r="B34" s="38" t="n">
        <v>2020000</v>
      </c>
      <c r="C34" s="24" t="n">
        <v>1500000</v>
      </c>
      <c r="D34" s="38" t="n">
        <v>520000</v>
      </c>
      <c r="E34" s="60" t="n">
        <v>0.346666666666667</v>
      </c>
    </row>
  </sheetData>
  <mergeCells count="4">
    <mergeCell ref="A1:C1"/>
    <mergeCell ref="A3:C3"/>
    <mergeCell ref="A15:D15"/>
    <mergeCell ref="A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1"/>
    <col collapsed="false" customWidth="true" hidden="false" outlineLevel="0" max="3" min="3" style="1" width="15"/>
    <col collapsed="false" customWidth="true" hidden="false" outlineLevel="0" max="4" min="4" style="1" width="13"/>
    <col collapsed="false" customWidth="true" hidden="false" outlineLevel="0" max="5" min="5" style="1" width="15"/>
    <col collapsed="false" customWidth="true" hidden="false" outlineLevel="0" max="6" min="6" style="1" width="11"/>
    <col collapsed="false" customWidth="true" hidden="false" outlineLevel="0" max="7" min="7" style="1" width="13"/>
    <col collapsed="false" customWidth="true" hidden="false" outlineLevel="0" max="8" min="8" style="1" width="14"/>
  </cols>
  <sheetData>
    <row r="1" customFormat="false" ht="25.5" hidden="false" customHeight="true" outlineLevel="0" collapsed="false">
      <c r="A1" s="10" t="s">
        <v>118</v>
      </c>
      <c r="B1" s="10"/>
      <c r="C1" s="10"/>
      <c r="D1" s="10"/>
      <c r="E1" s="10"/>
      <c r="F1" s="10"/>
      <c r="G1" s="10"/>
      <c r="H1" s="10"/>
    </row>
    <row r="2" customFormat="false" ht="15.75" hidden="false" customHeight="true" outlineLevel="0" collapsed="false">
      <c r="A2" s="61" t="s">
        <v>119</v>
      </c>
      <c r="B2" s="61"/>
      <c r="C2" s="61"/>
      <c r="D2" s="61"/>
      <c r="E2" s="61"/>
      <c r="F2" s="61"/>
      <c r="G2" s="61"/>
      <c r="H2" s="61"/>
    </row>
    <row r="3" customFormat="false" ht="19.5" hidden="false" customHeight="true" outlineLevel="0" collapsed="false">
      <c r="A3" s="17" t="s">
        <v>104</v>
      </c>
      <c r="B3" s="17" t="s">
        <v>120</v>
      </c>
      <c r="C3" s="17" t="s">
        <v>121</v>
      </c>
      <c r="D3" s="17" t="s">
        <v>122</v>
      </c>
      <c r="E3" s="17" t="s">
        <v>123</v>
      </c>
      <c r="F3" s="17" t="s">
        <v>124</v>
      </c>
      <c r="G3" s="17" t="s">
        <v>125</v>
      </c>
      <c r="H3" s="17" t="s">
        <v>126</v>
      </c>
    </row>
    <row r="4" customFormat="false" ht="18" hidden="false" customHeight="true" outlineLevel="0" collapsed="false">
      <c r="A4" s="19" t="s">
        <v>51</v>
      </c>
      <c r="B4" s="62" t="n">
        <v>0.9425</v>
      </c>
      <c r="C4" s="63" t="n">
        <v>-0.0575</v>
      </c>
      <c r="D4" s="64" t="n">
        <v>7.875</v>
      </c>
      <c r="E4" s="65" t="n">
        <v>-8762</v>
      </c>
      <c r="F4" s="45" t="n">
        <v>7</v>
      </c>
      <c r="G4" s="45" t="n">
        <v>7</v>
      </c>
      <c r="H4" s="45" t="n">
        <v>7</v>
      </c>
    </row>
    <row r="5" customFormat="false" ht="18" hidden="false" customHeight="true" outlineLevel="0" collapsed="false">
      <c r="A5" s="23" t="s">
        <v>54</v>
      </c>
      <c r="B5" s="66" t="n">
        <v>1.0935</v>
      </c>
      <c r="C5" s="67" t="n">
        <v>0.0935</v>
      </c>
      <c r="D5" s="68" t="n">
        <v>5.375</v>
      </c>
      <c r="E5" s="69" t="n">
        <v>13914</v>
      </c>
      <c r="F5" s="49" t="n">
        <v>4</v>
      </c>
      <c r="G5" s="49" t="n">
        <v>4</v>
      </c>
      <c r="H5" s="49" t="n">
        <v>4</v>
      </c>
    </row>
    <row r="6" customFormat="false" ht="18" hidden="false" customHeight="true" outlineLevel="0" collapsed="false">
      <c r="A6" s="19" t="s">
        <v>57</v>
      </c>
      <c r="B6" s="70" t="n">
        <v>1.1204</v>
      </c>
      <c r="C6" s="63" t="n">
        <v>0.1204</v>
      </c>
      <c r="D6" s="64" t="n">
        <v>4.25</v>
      </c>
      <c r="E6" s="65" t="n">
        <v>16991</v>
      </c>
      <c r="F6" s="45" t="n">
        <v>3</v>
      </c>
      <c r="G6" s="45" t="n">
        <v>3</v>
      </c>
      <c r="H6" s="45" t="n">
        <v>3</v>
      </c>
    </row>
    <row r="7" customFormat="false" ht="18" hidden="false" customHeight="true" outlineLevel="0" collapsed="false">
      <c r="A7" s="23" t="s">
        <v>59</v>
      </c>
      <c r="B7" s="71" t="n">
        <v>0.9194</v>
      </c>
      <c r="C7" s="67" t="n">
        <v>-0.0806</v>
      </c>
      <c r="D7" s="68" t="n">
        <v>7.875</v>
      </c>
      <c r="E7" s="69" t="n">
        <v>-10236</v>
      </c>
      <c r="F7" s="49" t="n">
        <v>8</v>
      </c>
      <c r="G7" s="49" t="n">
        <v>8</v>
      </c>
      <c r="H7" s="49" t="n">
        <v>8</v>
      </c>
    </row>
    <row r="8" customFormat="false" ht="18" hidden="false" customHeight="true" outlineLevel="0" collapsed="false">
      <c r="A8" s="19" t="s">
        <v>61</v>
      </c>
      <c r="B8" s="70" t="n">
        <v>1.0789</v>
      </c>
      <c r="C8" s="63" t="n">
        <v>0.0789</v>
      </c>
      <c r="D8" s="64" t="n">
        <v>4.375</v>
      </c>
      <c r="E8" s="65" t="n">
        <v>12623</v>
      </c>
      <c r="F8" s="45" t="n">
        <v>5</v>
      </c>
      <c r="G8" s="45" t="n">
        <v>5</v>
      </c>
      <c r="H8" s="45" t="n">
        <v>5</v>
      </c>
    </row>
    <row r="9" customFormat="false" ht="18" hidden="false" customHeight="true" outlineLevel="0" collapsed="false">
      <c r="A9" s="23" t="s">
        <v>64</v>
      </c>
      <c r="B9" s="66" t="n">
        <v>1.3194</v>
      </c>
      <c r="C9" s="67" t="n">
        <v>0.3194</v>
      </c>
      <c r="D9" s="68" t="n">
        <v>1.75</v>
      </c>
      <c r="E9" s="69" t="n">
        <v>46977</v>
      </c>
      <c r="F9" s="49" t="n">
        <v>1</v>
      </c>
      <c r="G9" s="49" t="n">
        <v>1</v>
      </c>
      <c r="H9" s="49" t="n">
        <v>1</v>
      </c>
    </row>
    <row r="10" customFormat="false" ht="18" hidden="false" customHeight="true" outlineLevel="0" collapsed="false">
      <c r="A10" s="19" t="s">
        <v>66</v>
      </c>
      <c r="B10" s="70" t="n">
        <v>1.2226</v>
      </c>
      <c r="C10" s="63" t="n">
        <v>0.2226</v>
      </c>
      <c r="D10" s="64" t="n">
        <v>3.5</v>
      </c>
      <c r="E10" s="65" t="n">
        <v>26948</v>
      </c>
      <c r="F10" s="45" t="n">
        <v>2</v>
      </c>
      <c r="G10" s="45" t="n">
        <v>2</v>
      </c>
      <c r="H10" s="45" t="n">
        <v>2</v>
      </c>
    </row>
    <row r="11" customFormat="false" ht="18" hidden="false" customHeight="true" outlineLevel="0" collapsed="false">
      <c r="A11" s="23" t="s">
        <v>67</v>
      </c>
      <c r="B11" s="71" t="n">
        <v>0.951</v>
      </c>
      <c r="C11" s="67" t="n">
        <v>-0.049</v>
      </c>
      <c r="D11" s="68" t="n">
        <v>10</v>
      </c>
      <c r="E11" s="69" t="n">
        <v>-7347</v>
      </c>
      <c r="F11" s="49" t="n">
        <v>6</v>
      </c>
      <c r="G11" s="49" t="n">
        <v>6</v>
      </c>
      <c r="H11" s="49" t="n">
        <v>6</v>
      </c>
    </row>
    <row r="13" customFormat="false" ht="18" hidden="false" customHeight="true" outlineLevel="0" collapsed="false">
      <c r="A13" s="6" t="s">
        <v>127</v>
      </c>
      <c r="B13" s="6"/>
      <c r="C13" s="6"/>
      <c r="D13" s="6"/>
    </row>
    <row r="14" customFormat="false" ht="18" hidden="false" customHeight="true" outlineLevel="0" collapsed="false">
      <c r="A14" s="4" t="s">
        <v>128</v>
      </c>
      <c r="B14" s="53" t="s">
        <v>64</v>
      </c>
    </row>
    <row r="15" customFormat="false" ht="18" hidden="false" customHeight="true" outlineLevel="0" collapsed="false">
      <c r="A15" s="4" t="s">
        <v>129</v>
      </c>
      <c r="B15" s="53" t="s">
        <v>64</v>
      </c>
    </row>
    <row r="16" customFormat="false" ht="18" hidden="false" customHeight="true" outlineLevel="0" collapsed="false">
      <c r="A16" s="4" t="s">
        <v>130</v>
      </c>
      <c r="B16" s="53" t="s">
        <v>64</v>
      </c>
    </row>
  </sheetData>
  <mergeCells count="3">
    <mergeCell ref="A1:H1"/>
    <mergeCell ref="A2:H2"/>
    <mergeCell ref="A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700"/>
    <pageSetUpPr fitToPage="false"/>
  </sheetPr>
  <dimension ref="A1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1" width="16"/>
  </cols>
  <sheetData>
    <row r="1" customFormat="false" ht="25.5" hidden="false" customHeight="true" outlineLevel="0" collapsed="false">
      <c r="A1" s="10" t="s">
        <v>131</v>
      </c>
      <c r="B1" s="10"/>
      <c r="C1" s="10"/>
      <c r="D1" s="10"/>
      <c r="E1" s="10"/>
      <c r="F1" s="10"/>
      <c r="G1" s="10"/>
      <c r="H1" s="10"/>
      <c r="I1" s="10"/>
    </row>
    <row r="2" customFormat="false" ht="18" hidden="false" customHeight="true" outlineLevel="0" collapsed="false">
      <c r="A2" s="6" t="s">
        <v>132</v>
      </c>
      <c r="B2" s="6"/>
      <c r="C2" s="6"/>
      <c r="D2" s="6"/>
      <c r="E2" s="6"/>
      <c r="F2" s="6"/>
      <c r="G2" s="6"/>
      <c r="H2" s="6"/>
      <c r="I2" s="6"/>
    </row>
    <row r="3" customFormat="false" ht="18" hidden="false" customHeight="true" outlineLevel="0" collapsed="false">
      <c r="A3" s="72" t="s">
        <v>133</v>
      </c>
      <c r="B3" s="72" t="s">
        <v>134</v>
      </c>
      <c r="C3" s="72" t="s">
        <v>135</v>
      </c>
      <c r="D3" s="72" t="s">
        <v>136</v>
      </c>
      <c r="E3" s="72" t="s">
        <v>137</v>
      </c>
      <c r="F3" s="72" t="s">
        <v>138</v>
      </c>
      <c r="G3" s="72" t="s">
        <v>139</v>
      </c>
      <c r="H3" s="72" t="s">
        <v>140</v>
      </c>
      <c r="I3" s="72" t="s">
        <v>141</v>
      </c>
    </row>
    <row r="4" customFormat="false" ht="18" hidden="false" customHeight="true" outlineLevel="0" collapsed="false">
      <c r="A4" s="73" t="n">
        <v>0.08</v>
      </c>
      <c r="B4" s="74" t="n">
        <v>184</v>
      </c>
      <c r="C4" s="74" t="n">
        <v>78378</v>
      </c>
      <c r="D4" s="74" t="n">
        <v>75821</v>
      </c>
      <c r="E4" s="75" t="n">
        <v>-82827</v>
      </c>
      <c r="F4" s="74" t="n">
        <v>58035</v>
      </c>
      <c r="G4" s="74" t="n">
        <v>134165</v>
      </c>
      <c r="H4" s="74" t="n">
        <v>116862</v>
      </c>
      <c r="I4" s="75" t="n">
        <v>-75673</v>
      </c>
    </row>
    <row r="5" customFormat="false" ht="18" hidden="false" customHeight="true" outlineLevel="0" collapsed="false">
      <c r="A5" s="73" t="n">
        <v>0.1</v>
      </c>
      <c r="B5" s="76" t="n">
        <v>184</v>
      </c>
      <c r="C5" s="77" t="n">
        <v>-273075</v>
      </c>
      <c r="D5" s="77" t="n">
        <v>-486867</v>
      </c>
      <c r="E5" s="77" t="n">
        <v>-218288</v>
      </c>
      <c r="F5" s="77" t="n">
        <v>-400883</v>
      </c>
      <c r="G5" s="77" t="n">
        <v>-640445</v>
      </c>
      <c r="H5" s="77" t="n">
        <v>-551725</v>
      </c>
      <c r="I5" s="76" t="n">
        <v>323653</v>
      </c>
    </row>
    <row r="6" customFormat="false" ht="18" hidden="false" customHeight="true" outlineLevel="0" collapsed="false">
      <c r="A6" s="73" t="n">
        <v>0.12</v>
      </c>
      <c r="B6" s="78" t="n">
        <v>-68999</v>
      </c>
      <c r="C6" s="78" t="n">
        <v>-325211</v>
      </c>
      <c r="D6" s="78" t="n">
        <v>-527790</v>
      </c>
      <c r="E6" s="78" t="n">
        <v>-280609</v>
      </c>
      <c r="F6" s="78" t="n">
        <v>-444776</v>
      </c>
      <c r="G6" s="78" t="n">
        <v>-672224</v>
      </c>
      <c r="H6" s="78" t="n">
        <v>-588703</v>
      </c>
      <c r="I6" s="79" t="n">
        <v>226531</v>
      </c>
    </row>
    <row r="8" customFormat="false" ht="6" hidden="false" customHeight="true" outlineLevel="0" collapsed="false">
      <c r="A8" s="6" t="s">
        <v>142</v>
      </c>
      <c r="B8" s="6"/>
      <c r="C8" s="6"/>
      <c r="D8" s="6"/>
      <c r="E8" s="6"/>
      <c r="F8" s="6"/>
      <c r="G8" s="6"/>
      <c r="H8" s="6"/>
      <c r="I8" s="6"/>
    </row>
    <row r="9" customFormat="false" ht="18" hidden="false" customHeight="true" outlineLevel="0" collapsed="false">
      <c r="A9" s="80" t="s">
        <v>143</v>
      </c>
      <c r="B9" s="81" t="s">
        <v>134</v>
      </c>
      <c r="C9" s="81" t="s">
        <v>135</v>
      </c>
      <c r="D9" s="81" t="s">
        <v>136</v>
      </c>
      <c r="E9" s="81" t="s">
        <v>137</v>
      </c>
      <c r="F9" s="81" t="s">
        <v>138</v>
      </c>
      <c r="G9" s="81" t="s">
        <v>139</v>
      </c>
      <c r="H9" s="81" t="s">
        <v>140</v>
      </c>
      <c r="I9" s="81" t="s">
        <v>141</v>
      </c>
    </row>
    <row r="10" customFormat="false" ht="18" hidden="false" customHeight="true" outlineLevel="0" collapsed="false">
      <c r="A10" s="73" t="n">
        <v>-0.1</v>
      </c>
      <c r="B10" s="82" t="n">
        <v>-182099</v>
      </c>
      <c r="C10" s="82" t="n">
        <v>-12690</v>
      </c>
      <c r="D10" s="83" t="n">
        <v>4989</v>
      </c>
      <c r="E10" s="82" t="n">
        <v>-172548</v>
      </c>
      <c r="F10" s="82" t="n">
        <v>-20299</v>
      </c>
      <c r="G10" s="83" t="n">
        <v>74999</v>
      </c>
      <c r="H10" s="83" t="n">
        <v>50167</v>
      </c>
      <c r="I10" s="82" t="n">
        <v>-216122</v>
      </c>
    </row>
    <row r="11" customFormat="false" ht="18" hidden="false" customHeight="true" outlineLevel="0" collapsed="false">
      <c r="A11" s="73" t="n">
        <v>0</v>
      </c>
      <c r="B11" s="77" t="n">
        <v>-68999</v>
      </c>
      <c r="C11" s="76" t="n">
        <v>74789</v>
      </c>
      <c r="D11" s="76" t="n">
        <v>72210</v>
      </c>
      <c r="E11" s="77" t="n">
        <v>-80609</v>
      </c>
      <c r="F11" s="76" t="n">
        <v>55224</v>
      </c>
      <c r="G11" s="76" t="n">
        <v>127776</v>
      </c>
      <c r="H11" s="76" t="n">
        <v>111297</v>
      </c>
      <c r="I11" s="77" t="n">
        <v>-73469</v>
      </c>
    </row>
    <row r="12" customFormat="false" ht="18" hidden="false" customHeight="true" outlineLevel="0" collapsed="false">
      <c r="A12" s="73" t="n">
        <v>0.1</v>
      </c>
      <c r="B12" s="84" t="n">
        <v>44101</v>
      </c>
      <c r="C12" s="84" t="n">
        <v>162268</v>
      </c>
      <c r="D12" s="84" t="n">
        <v>139431</v>
      </c>
      <c r="E12" s="84" t="n">
        <v>11330</v>
      </c>
      <c r="F12" s="84" t="n">
        <v>130746</v>
      </c>
      <c r="G12" s="84" t="n">
        <v>180554</v>
      </c>
      <c r="H12" s="84" t="n">
        <v>172427</v>
      </c>
      <c r="I12" s="84" t="n">
        <v>69184</v>
      </c>
    </row>
    <row r="13" customFormat="false" ht="18" hidden="false" customHeight="true" outlineLevel="0" collapsed="false">
      <c r="A13" s="85"/>
      <c r="B13" s="84"/>
      <c r="C13" s="84"/>
      <c r="D13" s="84"/>
      <c r="E13" s="84"/>
      <c r="F13" s="84"/>
      <c r="G13" s="84"/>
      <c r="H13" s="84"/>
      <c r="I13" s="84"/>
    </row>
  </sheetData>
  <mergeCells count="3">
    <mergeCell ref="A1:I1"/>
    <mergeCell ref="A2:I2"/>
    <mergeCell ref="A8:I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700"/>
    <pageSetUpPr fitToPage="fals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0"/>
    <col collapsed="false" customWidth="true" hidden="false" outlineLevel="0" max="9" min="4" style="1" width="14"/>
  </cols>
  <sheetData>
    <row r="1" customFormat="false" ht="25.5" hidden="false" customHeight="true" outlineLevel="0" collapsed="false">
      <c r="A1" s="10" t="s">
        <v>144</v>
      </c>
      <c r="B1" s="10"/>
      <c r="C1" s="10"/>
      <c r="D1" s="10"/>
      <c r="E1" s="10"/>
      <c r="F1" s="10"/>
      <c r="G1" s="10"/>
      <c r="H1" s="10"/>
      <c r="I1" s="10"/>
    </row>
    <row r="2" customFormat="false" ht="19.5" hidden="false" customHeight="true" outlineLevel="0" collapsed="false">
      <c r="A2" s="17" t="s">
        <v>104</v>
      </c>
      <c r="B2" s="17" t="s">
        <v>145</v>
      </c>
      <c r="C2" s="17" t="s">
        <v>146</v>
      </c>
      <c r="D2" s="17" t="s">
        <v>147</v>
      </c>
      <c r="E2" s="17" t="s">
        <v>148</v>
      </c>
      <c r="F2" s="17" t="s">
        <v>149</v>
      </c>
      <c r="G2" s="17" t="s">
        <v>150</v>
      </c>
      <c r="H2" s="17" t="s">
        <v>151</v>
      </c>
      <c r="I2" s="17" t="s">
        <v>88</v>
      </c>
    </row>
    <row r="3" customFormat="false" ht="15.75" hidden="false" customHeight="true" outlineLevel="0" collapsed="false">
      <c r="A3" s="86"/>
      <c r="B3" s="87"/>
      <c r="C3" s="88"/>
      <c r="D3" s="89"/>
      <c r="E3" s="89"/>
      <c r="F3" s="89"/>
      <c r="G3" s="89"/>
      <c r="H3" s="89"/>
      <c r="I3" s="89"/>
    </row>
    <row r="4" customFormat="false" ht="15.75" hidden="false" customHeight="true" outlineLevel="0" collapsed="false">
      <c r="A4" s="90" t="s">
        <v>51</v>
      </c>
      <c r="B4" s="91" t="s">
        <v>152</v>
      </c>
      <c r="C4" s="92" t="n">
        <v>0.7</v>
      </c>
      <c r="D4" s="93" t="n">
        <v>126000</v>
      </c>
      <c r="E4" s="93" t="n">
        <v>175000</v>
      </c>
      <c r="F4" s="93" t="n">
        <v>224000</v>
      </c>
      <c r="G4" s="93" t="n">
        <v>266000</v>
      </c>
      <c r="H4" s="93" t="n">
        <v>294000</v>
      </c>
      <c r="I4" s="39" t="n">
        <v>-408299.482772538</v>
      </c>
    </row>
    <row r="5" customFormat="false" ht="15.75" hidden="false" customHeight="true" outlineLevel="0" collapsed="false">
      <c r="A5" s="86" t="s">
        <v>51</v>
      </c>
      <c r="B5" s="87" t="s">
        <v>153</v>
      </c>
      <c r="C5" s="88" t="n">
        <v>1</v>
      </c>
      <c r="D5" s="89" t="n">
        <v>180000</v>
      </c>
      <c r="E5" s="89" t="n">
        <v>250000</v>
      </c>
      <c r="F5" s="89" t="n">
        <v>320000</v>
      </c>
      <c r="G5" s="89" t="n">
        <v>380000</v>
      </c>
      <c r="H5" s="89" t="n">
        <v>420000</v>
      </c>
      <c r="I5" s="94" t="n">
        <v>-68999.2611036259</v>
      </c>
    </row>
    <row r="6" customFormat="false" ht="15.75" hidden="false" customHeight="true" outlineLevel="0" collapsed="false">
      <c r="A6" s="95" t="s">
        <v>51</v>
      </c>
      <c r="B6" s="96" t="s">
        <v>154</v>
      </c>
      <c r="C6" s="97" t="n">
        <v>1.3</v>
      </c>
      <c r="D6" s="98" t="n">
        <v>234000</v>
      </c>
      <c r="E6" s="98" t="n">
        <v>325000</v>
      </c>
      <c r="F6" s="98" t="n">
        <v>416000</v>
      </c>
      <c r="G6" s="98" t="n">
        <v>494000</v>
      </c>
      <c r="H6" s="98" t="n">
        <v>546000</v>
      </c>
      <c r="I6" s="42" t="n">
        <v>270300.960565286</v>
      </c>
    </row>
    <row r="7" customFormat="false" ht="15.75" hidden="false" customHeight="true" outlineLevel="0" collapsed="false">
      <c r="A7" s="90" t="s">
        <v>54</v>
      </c>
      <c r="B7" s="91" t="s">
        <v>155</v>
      </c>
      <c r="C7" s="92" t="n">
        <v>0.7</v>
      </c>
      <c r="D7" s="93" t="n">
        <v>112000</v>
      </c>
      <c r="E7" s="93" t="n">
        <v>140000</v>
      </c>
      <c r="F7" s="93" t="n">
        <v>168000</v>
      </c>
      <c r="G7" s="93" t="n">
        <v>196000</v>
      </c>
      <c r="H7" s="93" t="n">
        <v>217000</v>
      </c>
      <c r="I7" s="39" t="n">
        <v>-187647.88793612</v>
      </c>
    </row>
    <row r="8" customFormat="false" ht="15.75" hidden="false" customHeight="true" outlineLevel="0" collapsed="false">
      <c r="A8" s="86" t="s">
        <v>54</v>
      </c>
      <c r="B8" s="87" t="s">
        <v>153</v>
      </c>
      <c r="C8" s="88" t="n">
        <v>1</v>
      </c>
      <c r="D8" s="89" t="n">
        <v>160000</v>
      </c>
      <c r="E8" s="89" t="n">
        <v>200000</v>
      </c>
      <c r="F8" s="89" t="n">
        <v>240000</v>
      </c>
      <c r="G8" s="89" t="n">
        <v>280000</v>
      </c>
      <c r="H8" s="89" t="n">
        <v>310000</v>
      </c>
      <c r="I8" s="99" t="n">
        <v>74788.7315198289</v>
      </c>
    </row>
    <row r="9" customFormat="false" ht="15.75" hidden="false" customHeight="true" outlineLevel="0" collapsed="false">
      <c r="A9" s="95" t="s">
        <v>54</v>
      </c>
      <c r="B9" s="96" t="s">
        <v>154</v>
      </c>
      <c r="C9" s="97" t="n">
        <v>1.3</v>
      </c>
      <c r="D9" s="98" t="n">
        <v>208000</v>
      </c>
      <c r="E9" s="98" t="n">
        <v>260000</v>
      </c>
      <c r="F9" s="98" t="n">
        <v>312000</v>
      </c>
      <c r="G9" s="98" t="n">
        <v>364000</v>
      </c>
      <c r="H9" s="98" t="n">
        <v>403000</v>
      </c>
      <c r="I9" s="42" t="n">
        <v>337225.350975778</v>
      </c>
    </row>
    <row r="10" customFormat="false" ht="15.75" hidden="false" customHeight="true" outlineLevel="0" collapsed="false">
      <c r="A10" s="90" t="s">
        <v>57</v>
      </c>
      <c r="B10" s="91" t="s">
        <v>152</v>
      </c>
      <c r="C10" s="92" t="n">
        <v>0.7</v>
      </c>
      <c r="D10" s="93" t="n">
        <v>77000</v>
      </c>
      <c r="E10" s="93" t="n">
        <v>105000</v>
      </c>
      <c r="F10" s="93" t="n">
        <v>133000</v>
      </c>
      <c r="G10" s="93" t="n">
        <v>154000</v>
      </c>
      <c r="H10" s="93" t="n">
        <v>175000</v>
      </c>
      <c r="I10" s="39" t="n">
        <v>-129452.968314385</v>
      </c>
    </row>
    <row r="11" customFormat="false" ht="15.75" hidden="false" customHeight="true" outlineLevel="0" collapsed="false">
      <c r="A11" s="86" t="s">
        <v>57</v>
      </c>
      <c r="B11" s="87" t="s">
        <v>153</v>
      </c>
      <c r="C11" s="88" t="n">
        <v>1</v>
      </c>
      <c r="D11" s="89" t="n">
        <v>110000</v>
      </c>
      <c r="E11" s="89" t="n">
        <v>150000</v>
      </c>
      <c r="F11" s="89" t="n">
        <v>190000</v>
      </c>
      <c r="G11" s="89" t="n">
        <v>220000</v>
      </c>
      <c r="H11" s="89" t="n">
        <v>250000</v>
      </c>
      <c r="I11" s="99" t="n">
        <v>72210.0452651642</v>
      </c>
    </row>
    <row r="12" customFormat="false" ht="15.75" hidden="false" customHeight="true" outlineLevel="0" collapsed="false">
      <c r="A12" s="95" t="s">
        <v>57</v>
      </c>
      <c r="B12" s="96" t="s">
        <v>154</v>
      </c>
      <c r="C12" s="97" t="n">
        <v>1.3</v>
      </c>
      <c r="D12" s="98" t="n">
        <v>143000</v>
      </c>
      <c r="E12" s="98" t="n">
        <v>195000</v>
      </c>
      <c r="F12" s="98" t="n">
        <v>247000</v>
      </c>
      <c r="G12" s="98" t="n">
        <v>286000</v>
      </c>
      <c r="H12" s="98" t="n">
        <v>325000</v>
      </c>
      <c r="I12" s="42" t="n">
        <v>273873.058844714</v>
      </c>
    </row>
    <row r="13" customFormat="false" ht="15.75" hidden="false" customHeight="true" outlineLevel="0" collapsed="false">
      <c r="A13" s="90" t="s">
        <v>59</v>
      </c>
      <c r="B13" s="91" t="s">
        <v>152</v>
      </c>
      <c r="C13" s="92" t="n">
        <v>0.7</v>
      </c>
      <c r="D13" s="93" t="n">
        <v>56000</v>
      </c>
      <c r="E13" s="93" t="n">
        <v>112000</v>
      </c>
      <c r="F13" s="93" t="n">
        <v>182000</v>
      </c>
      <c r="G13" s="93" t="n">
        <v>252000</v>
      </c>
      <c r="H13" s="93" t="n">
        <v>308000</v>
      </c>
      <c r="I13" s="39" t="n">
        <v>-356426.47360153</v>
      </c>
    </row>
    <row r="14" customFormat="false" ht="15.75" hidden="false" customHeight="true" outlineLevel="0" collapsed="false">
      <c r="A14" s="86" t="s">
        <v>59</v>
      </c>
      <c r="B14" s="87" t="s">
        <v>153</v>
      </c>
      <c r="C14" s="88" t="n">
        <v>1</v>
      </c>
      <c r="D14" s="89" t="n">
        <v>80000</v>
      </c>
      <c r="E14" s="89" t="n">
        <v>160000</v>
      </c>
      <c r="F14" s="89" t="n">
        <v>260000</v>
      </c>
      <c r="G14" s="89" t="n">
        <v>360000</v>
      </c>
      <c r="H14" s="89" t="n">
        <v>440000</v>
      </c>
      <c r="I14" s="94" t="n">
        <v>-80609.2480021858</v>
      </c>
    </row>
    <row r="15" customFormat="false" ht="15.75" hidden="false" customHeight="true" outlineLevel="0" collapsed="false">
      <c r="A15" s="95" t="s">
        <v>59</v>
      </c>
      <c r="B15" s="96" t="s">
        <v>154</v>
      </c>
      <c r="C15" s="97" t="n">
        <v>1.3</v>
      </c>
      <c r="D15" s="98" t="n">
        <v>104000</v>
      </c>
      <c r="E15" s="98" t="n">
        <v>208000</v>
      </c>
      <c r="F15" s="98" t="n">
        <v>338000</v>
      </c>
      <c r="G15" s="98" t="n">
        <v>468000</v>
      </c>
      <c r="H15" s="98" t="n">
        <v>572000</v>
      </c>
      <c r="I15" s="42" t="n">
        <v>195207.977597158</v>
      </c>
    </row>
    <row r="16" customFormat="false" ht="15.75" hidden="false" customHeight="true" outlineLevel="0" collapsed="false">
      <c r="A16" s="90" t="s">
        <v>61</v>
      </c>
      <c r="B16" s="91" t="s">
        <v>155</v>
      </c>
      <c r="C16" s="92" t="n">
        <v>0.7</v>
      </c>
      <c r="D16" s="93" t="n">
        <v>105000</v>
      </c>
      <c r="E16" s="93" t="n">
        <v>126000</v>
      </c>
      <c r="F16" s="93" t="n">
        <v>147000</v>
      </c>
      <c r="G16" s="93" t="n">
        <v>161000</v>
      </c>
      <c r="H16" s="93" t="n">
        <v>175000</v>
      </c>
      <c r="I16" s="39" t="n">
        <v>-171343.549558836</v>
      </c>
    </row>
    <row r="17" customFormat="false" ht="15.75" hidden="false" customHeight="true" outlineLevel="0" collapsed="false">
      <c r="A17" s="86" t="s">
        <v>61</v>
      </c>
      <c r="B17" s="87" t="s">
        <v>153</v>
      </c>
      <c r="C17" s="88" t="n">
        <v>1</v>
      </c>
      <c r="D17" s="89" t="n">
        <v>150000</v>
      </c>
      <c r="E17" s="89" t="n">
        <v>180000</v>
      </c>
      <c r="F17" s="89" t="n">
        <v>210000</v>
      </c>
      <c r="G17" s="89" t="n">
        <v>230000</v>
      </c>
      <c r="H17" s="89" t="n">
        <v>250000</v>
      </c>
      <c r="I17" s="99" t="n">
        <v>55223.500630235</v>
      </c>
    </row>
    <row r="18" customFormat="false" ht="15.75" hidden="false" customHeight="true" outlineLevel="0" collapsed="false">
      <c r="A18" s="95" t="s">
        <v>61</v>
      </c>
      <c r="B18" s="96" t="s">
        <v>154</v>
      </c>
      <c r="C18" s="97" t="n">
        <v>1.3</v>
      </c>
      <c r="D18" s="98" t="n">
        <v>195000</v>
      </c>
      <c r="E18" s="98" t="n">
        <v>234000</v>
      </c>
      <c r="F18" s="98" t="n">
        <v>273000</v>
      </c>
      <c r="G18" s="98" t="n">
        <v>299000</v>
      </c>
      <c r="H18" s="98" t="n">
        <v>325000</v>
      </c>
      <c r="I18" s="42" t="n">
        <v>281790.550819305</v>
      </c>
    </row>
    <row r="19" customFormat="false" ht="15.75" hidden="false" customHeight="true" outlineLevel="0" collapsed="false">
      <c r="A19" s="90" t="s">
        <v>64</v>
      </c>
      <c r="B19" s="91" t="s">
        <v>152</v>
      </c>
      <c r="C19" s="92" t="n">
        <v>0.7</v>
      </c>
      <c r="D19" s="93" t="n">
        <v>63000</v>
      </c>
      <c r="E19" s="93" t="n">
        <v>84000</v>
      </c>
      <c r="F19" s="93" t="n">
        <v>105000</v>
      </c>
      <c r="G19" s="93" t="n">
        <v>119000</v>
      </c>
      <c r="H19" s="93" t="n">
        <v>133000</v>
      </c>
      <c r="I19" s="39" t="n">
        <v>-30556.5938739904</v>
      </c>
    </row>
    <row r="20" customFormat="false" ht="15.75" hidden="false" customHeight="true" outlineLevel="0" collapsed="false">
      <c r="A20" s="86" t="s">
        <v>64</v>
      </c>
      <c r="B20" s="87" t="s">
        <v>153</v>
      </c>
      <c r="C20" s="88" t="n">
        <v>1</v>
      </c>
      <c r="D20" s="89" t="n">
        <v>90000</v>
      </c>
      <c r="E20" s="89" t="n">
        <v>120000</v>
      </c>
      <c r="F20" s="89" t="n">
        <v>150000</v>
      </c>
      <c r="G20" s="89" t="n">
        <v>170000</v>
      </c>
      <c r="H20" s="89" t="n">
        <v>190000</v>
      </c>
      <c r="I20" s="99" t="n">
        <v>127776.294465728</v>
      </c>
    </row>
    <row r="21" customFormat="false" ht="15.75" hidden="false" customHeight="true" outlineLevel="0" collapsed="false">
      <c r="A21" s="95" t="s">
        <v>64</v>
      </c>
      <c r="B21" s="96" t="s">
        <v>154</v>
      </c>
      <c r="C21" s="97" t="n">
        <v>1.3</v>
      </c>
      <c r="D21" s="98" t="n">
        <v>117000</v>
      </c>
      <c r="E21" s="98" t="n">
        <v>156000</v>
      </c>
      <c r="F21" s="98" t="n">
        <v>195000</v>
      </c>
      <c r="G21" s="98" t="n">
        <v>221000</v>
      </c>
      <c r="H21" s="98" t="n">
        <v>247000</v>
      </c>
      <c r="I21" s="42" t="n">
        <v>286109.182805447</v>
      </c>
    </row>
    <row r="22" customFormat="false" ht="15.75" hidden="false" customHeight="true" outlineLevel="0" collapsed="false">
      <c r="A22" s="90" t="s">
        <v>66</v>
      </c>
      <c r="B22" s="91" t="s">
        <v>152</v>
      </c>
      <c r="C22" s="92" t="n">
        <v>0.7</v>
      </c>
      <c r="D22" s="93" t="n">
        <v>70000</v>
      </c>
      <c r="E22" s="93" t="n">
        <v>98000</v>
      </c>
      <c r="F22" s="93" t="n">
        <v>122500</v>
      </c>
      <c r="G22" s="93" t="n">
        <v>140000</v>
      </c>
      <c r="H22" s="93" t="n">
        <v>154000</v>
      </c>
      <c r="I22" s="39" t="n">
        <v>-72092.0702137834</v>
      </c>
    </row>
    <row r="23" customFormat="false" ht="15.75" hidden="false" customHeight="true" outlineLevel="0" collapsed="false">
      <c r="A23" s="86" t="s">
        <v>66</v>
      </c>
      <c r="B23" s="87" t="s">
        <v>153</v>
      </c>
      <c r="C23" s="88" t="n">
        <v>1</v>
      </c>
      <c r="D23" s="89" t="n">
        <v>100000</v>
      </c>
      <c r="E23" s="89" t="n">
        <v>140000</v>
      </c>
      <c r="F23" s="89" t="n">
        <v>175000</v>
      </c>
      <c r="G23" s="89" t="n">
        <v>200000</v>
      </c>
      <c r="H23" s="89" t="n">
        <v>220000</v>
      </c>
      <c r="I23" s="99" t="n">
        <v>111297.042551738</v>
      </c>
    </row>
    <row r="24" customFormat="false" ht="15.75" hidden="false" customHeight="true" outlineLevel="0" collapsed="false">
      <c r="A24" s="95" t="s">
        <v>66</v>
      </c>
      <c r="B24" s="96" t="s">
        <v>154</v>
      </c>
      <c r="C24" s="97" t="n">
        <v>1.3</v>
      </c>
      <c r="D24" s="98" t="n">
        <v>130000</v>
      </c>
      <c r="E24" s="98" t="n">
        <v>182000</v>
      </c>
      <c r="F24" s="98" t="n">
        <v>227500</v>
      </c>
      <c r="G24" s="98" t="n">
        <v>260000</v>
      </c>
      <c r="H24" s="98" t="n">
        <v>286000</v>
      </c>
      <c r="I24" s="42" t="n">
        <v>294686.15531726</v>
      </c>
    </row>
    <row r="25" customFormat="false" ht="15.75" hidden="false" customHeight="true" outlineLevel="0" collapsed="false">
      <c r="A25" s="90" t="s">
        <v>67</v>
      </c>
      <c r="B25" s="91" t="s">
        <v>155</v>
      </c>
      <c r="C25" s="92" t="n">
        <v>0.7</v>
      </c>
      <c r="D25" s="93" t="n">
        <v>84000</v>
      </c>
      <c r="E25" s="93" t="n">
        <v>175000</v>
      </c>
      <c r="F25" s="93" t="n">
        <v>280000</v>
      </c>
      <c r="G25" s="93" t="n">
        <v>385000</v>
      </c>
      <c r="H25" s="93" t="n">
        <v>490000</v>
      </c>
      <c r="I25" s="39" t="n">
        <v>-501428.49159583</v>
      </c>
    </row>
    <row r="26" customFormat="false" ht="15.75" hidden="false" customHeight="true" outlineLevel="0" collapsed="false">
      <c r="A26" s="86" t="s">
        <v>67</v>
      </c>
      <c r="B26" s="87" t="s">
        <v>153</v>
      </c>
      <c r="C26" s="88" t="n">
        <v>1</v>
      </c>
      <c r="D26" s="89" t="n">
        <v>120000</v>
      </c>
      <c r="E26" s="89" t="n">
        <v>250000</v>
      </c>
      <c r="F26" s="89" t="n">
        <v>400000</v>
      </c>
      <c r="G26" s="89" t="n">
        <v>550000</v>
      </c>
      <c r="H26" s="89" t="n">
        <v>700000</v>
      </c>
      <c r="I26" s="94" t="n">
        <v>-73469.2737083288</v>
      </c>
    </row>
    <row r="31" customFormat="false" ht="15" hidden="false" customHeight="false" outlineLevel="0" collapsed="false">
      <c r="A31" s="100" t="s">
        <v>67</v>
      </c>
      <c r="B31" s="100" t="s">
        <v>154</v>
      </c>
      <c r="C31" s="101" t="n">
        <v>1.3</v>
      </c>
      <c r="D31" s="102" t="n">
        <v>156000</v>
      </c>
      <c r="E31" s="102" t="n">
        <v>325000</v>
      </c>
      <c r="F31" s="102" t="n">
        <v>520000</v>
      </c>
      <c r="G31" s="102" t="n">
        <v>715000</v>
      </c>
      <c r="H31" s="102" t="n">
        <v>910000</v>
      </c>
      <c r="I31" s="102" t="n">
        <v>354490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080"/>
    <pageSetUpPr fitToPage="false"/>
  </sheetPr>
  <dimension ref="A1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2"/>
    <col collapsed="false" customWidth="true" hidden="false" outlineLevel="0" max="4" min="3" style="1" width="16"/>
  </cols>
  <sheetData>
    <row r="1" customFormat="false" ht="25.5" hidden="false" customHeight="true" outlineLevel="0" collapsed="false">
      <c r="A1" s="103" t="s">
        <v>156</v>
      </c>
    </row>
    <row r="2" customFormat="false" ht="15.75" hidden="false" customHeight="true" outlineLevel="0" collapsed="false">
      <c r="A2" s="104" t="s">
        <v>157</v>
      </c>
    </row>
    <row r="4" customFormat="false" ht="18" hidden="false" customHeight="true" outlineLevel="0" collapsed="false">
      <c r="A4" s="4" t="s">
        <v>158</v>
      </c>
      <c r="B4" s="7" t="n">
        <v>5000000</v>
      </c>
    </row>
    <row r="5" customFormat="false" ht="18" hidden="false" customHeight="true" outlineLevel="0" collapsed="false">
      <c r="A5" s="4" t="s">
        <v>159</v>
      </c>
      <c r="B5" s="5" t="s">
        <v>160</v>
      </c>
    </row>
    <row r="6" customFormat="false" ht="6" hidden="false" customHeight="true" outlineLevel="0" collapsed="false"/>
    <row r="7" customFormat="false" ht="18" hidden="false" customHeight="true" outlineLevel="0" collapsed="false">
      <c r="A7" s="105" t="s">
        <v>161</v>
      </c>
    </row>
    <row r="8" customFormat="false" ht="18" hidden="false" customHeight="true" outlineLevel="0" collapsed="false">
      <c r="A8" s="17" t="s">
        <v>104</v>
      </c>
      <c r="B8" s="17" t="s">
        <v>162</v>
      </c>
      <c r="C8" s="17" t="s">
        <v>43</v>
      </c>
      <c r="D8" s="17" t="s">
        <v>88</v>
      </c>
    </row>
    <row r="9" customFormat="false" ht="18" hidden="false" customHeight="true" outlineLevel="0" collapsed="false">
      <c r="A9" s="19" t="s">
        <v>51</v>
      </c>
      <c r="B9" s="21" t="s">
        <v>163</v>
      </c>
      <c r="C9" s="65" t="n">
        <v>0</v>
      </c>
      <c r="D9" s="65" t="n">
        <v>0</v>
      </c>
    </row>
    <row r="10" customFormat="false" ht="18" hidden="false" customHeight="true" outlineLevel="0" collapsed="false">
      <c r="A10" s="106" t="s">
        <v>54</v>
      </c>
      <c r="B10" s="26" t="s">
        <v>164</v>
      </c>
      <c r="C10" s="107" t="n">
        <v>800000</v>
      </c>
      <c r="D10" s="107" t="n">
        <v>122440</v>
      </c>
    </row>
    <row r="11" customFormat="false" ht="18" hidden="false" customHeight="true" outlineLevel="0" collapsed="false">
      <c r="A11" s="106" t="s">
        <v>57</v>
      </c>
      <c r="B11" s="21" t="s">
        <v>163</v>
      </c>
      <c r="C11" s="107" t="n">
        <v>0</v>
      </c>
      <c r="D11" s="107" t="n">
        <v>0</v>
      </c>
    </row>
    <row r="12" customFormat="false" ht="18" hidden="false" customHeight="true" outlineLevel="0" collapsed="false">
      <c r="A12" s="23" t="s">
        <v>59</v>
      </c>
      <c r="B12" s="26" t="s">
        <v>164</v>
      </c>
      <c r="C12" s="69" t="n">
        <v>1000000</v>
      </c>
      <c r="D12" s="69" t="n">
        <v>141260</v>
      </c>
    </row>
    <row r="13" customFormat="false" ht="18" hidden="false" customHeight="true" outlineLevel="0" collapsed="false">
      <c r="A13" s="106" t="s">
        <v>61</v>
      </c>
      <c r="B13" s="26" t="s">
        <v>164</v>
      </c>
      <c r="C13" s="107" t="n">
        <v>700000</v>
      </c>
      <c r="D13" s="107" t="n">
        <v>93640</v>
      </c>
    </row>
    <row r="14" customFormat="false" ht="18" hidden="false" customHeight="true" outlineLevel="0" collapsed="false">
      <c r="A14" s="106" t="s">
        <v>64</v>
      </c>
      <c r="B14" s="26" t="s">
        <v>164</v>
      </c>
      <c r="C14" s="107" t="n">
        <v>400000</v>
      </c>
      <c r="D14" s="107" t="n">
        <v>88950</v>
      </c>
    </row>
    <row r="15" customFormat="false" ht="18" hidden="false" customHeight="true" outlineLevel="0" collapsed="false">
      <c r="A15" s="106" t="s">
        <v>66</v>
      </c>
      <c r="B15" s="21" t="s">
        <v>163</v>
      </c>
      <c r="C15" s="107" t="n">
        <v>0</v>
      </c>
      <c r="D15" s="107" t="n">
        <v>0</v>
      </c>
    </row>
    <row r="16" customFormat="false" ht="18" hidden="false" customHeight="true" outlineLevel="0" collapsed="false">
      <c r="A16" s="23" t="s">
        <v>67</v>
      </c>
      <c r="B16" s="26" t="s">
        <v>164</v>
      </c>
      <c r="C16" s="69" t="n">
        <v>1500000</v>
      </c>
      <c r="D16" s="69" t="n">
        <v>197350</v>
      </c>
    </row>
    <row r="17" customFormat="false" ht="6" hidden="false" customHeight="true" outlineLevel="0" collapsed="false"/>
    <row r="18" customFormat="false" ht="18" hidden="false" customHeight="true" outlineLevel="0" collapsed="false">
      <c r="A18" s="105" t="s">
        <v>165</v>
      </c>
    </row>
    <row r="19" customFormat="false" ht="18" hidden="false" customHeight="true" outlineLevel="0" collapsed="false">
      <c r="A19" s="108" t="s">
        <v>166</v>
      </c>
      <c r="B19" s="109" t="n">
        <v>4400000</v>
      </c>
    </row>
    <row r="20" customFormat="false" ht="18" hidden="false" customHeight="true" outlineLevel="0" collapsed="false">
      <c r="A20" s="108" t="s">
        <v>167</v>
      </c>
      <c r="B20" s="51" t="n">
        <v>643640</v>
      </c>
    </row>
    <row r="21" customFormat="false" ht="18" hidden="false" customHeight="true" outlineLevel="0" collapsed="false">
      <c r="A21" s="108" t="s">
        <v>168</v>
      </c>
      <c r="B21" s="110" t="n">
        <v>600000</v>
      </c>
    </row>
    <row r="22" customFormat="false" ht="18" hidden="false" customHeight="true" outlineLevel="0" collapsed="false">
      <c r="A22" s="108" t="s">
        <v>169</v>
      </c>
      <c r="B22" s="111" t="n">
        <v>0.88</v>
      </c>
    </row>
    <row r="23" customFormat="false" ht="18" hidden="false" customHeight="true" outlineLevel="0" collapsed="false">
      <c r="A23" s="108" t="s">
        <v>170</v>
      </c>
      <c r="B23" s="112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3"/>
    <col collapsed="false" customWidth="true" hidden="false" outlineLevel="0" max="6" min="5" style="1" width="15"/>
    <col collapsed="false" customWidth="true" hidden="false" outlineLevel="0" max="7" min="7" style="1" width="13"/>
    <col collapsed="false" customWidth="true" hidden="false" outlineLevel="0" max="8" min="8" style="1" width="17"/>
    <col collapsed="false" customWidth="true" hidden="false" outlineLevel="0" max="9" min="9" style="1" width="11"/>
  </cols>
  <sheetData>
    <row r="1" customFormat="false" ht="25.5" hidden="false" customHeight="true" outlineLevel="0" collapsed="false">
      <c r="A1" s="10" t="s">
        <v>172</v>
      </c>
      <c r="B1" s="10"/>
      <c r="C1" s="10"/>
      <c r="D1" s="10"/>
      <c r="E1" s="10"/>
      <c r="F1" s="10"/>
      <c r="G1" s="10"/>
      <c r="H1" s="10"/>
      <c r="I1" s="10"/>
    </row>
    <row r="2" customFormat="false" ht="15.75" hidden="false" customHeight="true" outlineLevel="0" collapsed="false">
      <c r="A2" s="61" t="s">
        <v>173</v>
      </c>
      <c r="B2" s="61"/>
      <c r="C2" s="61"/>
      <c r="D2" s="61"/>
      <c r="E2" s="61"/>
      <c r="F2" s="61"/>
      <c r="G2" s="61"/>
      <c r="H2" s="61"/>
      <c r="I2" s="61"/>
    </row>
    <row r="3" customFormat="false" ht="19.5" hidden="false" customHeight="true" outlineLevel="0" collapsed="false">
      <c r="A3" s="17" t="s">
        <v>104</v>
      </c>
      <c r="B3" s="17" t="s">
        <v>174</v>
      </c>
      <c r="C3" s="17" t="s">
        <v>175</v>
      </c>
      <c r="D3" s="17" t="s">
        <v>49</v>
      </c>
      <c r="E3" s="17" t="s">
        <v>176</v>
      </c>
      <c r="F3" s="17" t="s">
        <v>177</v>
      </c>
      <c r="G3" s="17" t="s">
        <v>178</v>
      </c>
      <c r="H3" s="17" t="s">
        <v>179</v>
      </c>
      <c r="I3" s="17" t="s">
        <v>180</v>
      </c>
    </row>
    <row r="4" customFormat="false" ht="18" hidden="false" customHeight="true" outlineLevel="0" collapsed="false">
      <c r="A4" s="19"/>
      <c r="B4" s="20"/>
      <c r="C4" s="57"/>
      <c r="D4" s="113"/>
      <c r="E4" s="114"/>
      <c r="F4" s="114"/>
      <c r="G4" s="114"/>
      <c r="H4" s="115"/>
      <c r="I4" s="116"/>
    </row>
    <row r="5" customFormat="false" ht="18" hidden="false" customHeight="true" outlineLevel="0" collapsed="false">
      <c r="A5" s="23" t="s">
        <v>51</v>
      </c>
      <c r="B5" s="24" t="n">
        <v>1200000</v>
      </c>
      <c r="C5" s="58" t="n">
        <v>4.1</v>
      </c>
      <c r="D5" s="21" t="s">
        <v>52</v>
      </c>
      <c r="E5" s="117" t="n">
        <v>8.75</v>
      </c>
      <c r="F5" s="117" t="n">
        <v>7.5</v>
      </c>
      <c r="G5" s="117" t="n">
        <v>7.5</v>
      </c>
      <c r="H5" s="118" t="n">
        <v>6.83</v>
      </c>
      <c r="I5" s="119" t="n">
        <v>6</v>
      </c>
    </row>
    <row r="6" customFormat="false" ht="18" hidden="false" customHeight="true" outlineLevel="0" collapsed="false">
      <c r="A6" s="19" t="s">
        <v>54</v>
      </c>
      <c r="B6" s="20" t="n">
        <v>800000</v>
      </c>
      <c r="C6" s="57" t="n">
        <v>3.6</v>
      </c>
      <c r="D6" s="25" t="s">
        <v>55</v>
      </c>
      <c r="E6" s="114" t="n">
        <v>6.25</v>
      </c>
      <c r="F6" s="114" t="n">
        <v>5</v>
      </c>
      <c r="G6" s="114" t="n">
        <v>5</v>
      </c>
      <c r="H6" s="120" t="n">
        <v>4.08</v>
      </c>
      <c r="I6" s="121" t="n">
        <v>5</v>
      </c>
    </row>
    <row r="7" customFormat="false" ht="18" hidden="false" customHeight="true" outlineLevel="0" collapsed="false">
      <c r="A7" s="23" t="s">
        <v>57</v>
      </c>
      <c r="B7" s="24" t="n">
        <v>600000</v>
      </c>
      <c r="C7" s="58" t="n">
        <v>3.3</v>
      </c>
      <c r="D7" s="25" t="s">
        <v>55</v>
      </c>
      <c r="E7" s="117" t="n">
        <v>3.75</v>
      </c>
      <c r="F7" s="117" t="n">
        <v>3.75</v>
      </c>
      <c r="G7" s="117" t="n">
        <v>5</v>
      </c>
      <c r="H7" s="122" t="n">
        <v>3.25</v>
      </c>
      <c r="I7" s="119" t="n">
        <v>4</v>
      </c>
    </row>
    <row r="8" customFormat="false" ht="18" hidden="false" customHeight="true" outlineLevel="0" collapsed="false">
      <c r="A8" s="19" t="s">
        <v>59</v>
      </c>
      <c r="B8" s="20" t="n">
        <v>1000000</v>
      </c>
      <c r="C8" s="57" t="n">
        <v>4.8</v>
      </c>
      <c r="D8" s="21" t="s">
        <v>52</v>
      </c>
      <c r="E8" s="114" t="n">
        <v>7.5</v>
      </c>
      <c r="F8" s="114" t="n">
        <v>8.75</v>
      </c>
      <c r="G8" s="114" t="n">
        <v>7.5</v>
      </c>
      <c r="H8" s="118" t="n">
        <v>7.12</v>
      </c>
      <c r="I8" s="121" t="n">
        <v>7</v>
      </c>
    </row>
    <row r="9" customFormat="false" ht="18" hidden="false" customHeight="true" outlineLevel="0" collapsed="false">
      <c r="A9" s="23" t="s">
        <v>61</v>
      </c>
      <c r="B9" s="24" t="n">
        <v>700000</v>
      </c>
      <c r="C9" s="58" t="n">
        <v>3.8</v>
      </c>
      <c r="D9" s="26" t="s">
        <v>62</v>
      </c>
      <c r="E9" s="117" t="n">
        <v>5</v>
      </c>
      <c r="F9" s="117" t="n">
        <v>6.25</v>
      </c>
      <c r="G9" s="117" t="n">
        <v>2.5</v>
      </c>
      <c r="H9" s="122" t="n">
        <v>2.86</v>
      </c>
      <c r="I9" s="119" t="n">
        <v>3</v>
      </c>
    </row>
    <row r="10" customFormat="false" ht="18" hidden="false" customHeight="true" outlineLevel="0" collapsed="false">
      <c r="A10" s="19" t="s">
        <v>64</v>
      </c>
      <c r="B10" s="20" t="n">
        <v>400000</v>
      </c>
      <c r="C10" s="57" t="n">
        <v>2.8</v>
      </c>
      <c r="D10" s="26" t="s">
        <v>62</v>
      </c>
      <c r="E10" s="114" t="n">
        <v>1.25</v>
      </c>
      <c r="F10" s="114" t="n">
        <v>1.25</v>
      </c>
      <c r="G10" s="114" t="n">
        <v>2.5</v>
      </c>
      <c r="H10" s="122" t="n">
        <v>1</v>
      </c>
      <c r="I10" s="121" t="n">
        <v>1</v>
      </c>
    </row>
    <row r="11" customFormat="false" ht="18" hidden="false" customHeight="true" outlineLevel="0" collapsed="false">
      <c r="A11" s="23" t="s">
        <v>66</v>
      </c>
      <c r="B11" s="24" t="n">
        <v>500000</v>
      </c>
      <c r="C11" s="58" t="n">
        <v>3.1</v>
      </c>
      <c r="D11" s="25" t="s">
        <v>55</v>
      </c>
      <c r="E11" s="117" t="n">
        <v>2.5</v>
      </c>
      <c r="F11" s="117" t="n">
        <v>2.5</v>
      </c>
      <c r="G11" s="117" t="n">
        <v>5</v>
      </c>
      <c r="H11" s="122" t="n">
        <v>2.78</v>
      </c>
      <c r="I11" s="119" t="n">
        <v>2</v>
      </c>
    </row>
    <row r="12" customFormat="false" ht="15" hidden="false" customHeight="true" outlineLevel="0" collapsed="false">
      <c r="A12" s="1" t="s">
        <v>67</v>
      </c>
      <c r="B12" s="123" t="n">
        <v>1500000</v>
      </c>
      <c r="C12" s="1" t="n">
        <v>5.2</v>
      </c>
      <c r="D12" s="1" t="s">
        <v>68</v>
      </c>
      <c r="E12" s="124" t="n">
        <v>10</v>
      </c>
      <c r="F12" s="124" t="n">
        <v>10</v>
      </c>
      <c r="G12" s="124" t="n">
        <v>10</v>
      </c>
      <c r="H12" s="125" t="n">
        <v>10</v>
      </c>
      <c r="I12" s="126" t="n">
        <v>8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M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5"/>
    <col collapsed="false" customWidth="true" hidden="false" outlineLevel="0" max="3" min="3" style="1" width="11"/>
    <col collapsed="false" customWidth="true" hidden="false" outlineLevel="0" max="4" min="4" style="1" width="13"/>
    <col collapsed="false" customWidth="true" hidden="false" outlineLevel="0" max="6" min="5" style="1" width="11"/>
    <col collapsed="false" customWidth="true" hidden="false" outlineLevel="0" max="7" min="7" style="1" width="12"/>
    <col collapsed="false" customWidth="true" hidden="false" outlineLevel="0" max="8" min="8" style="1" width="2"/>
    <col collapsed="false" customWidth="true" hidden="false" outlineLevel="0" max="9" min="9" style="1" width="26"/>
    <col collapsed="false" customWidth="true" hidden="false" outlineLevel="0" max="10" min="10" style="1" width="16"/>
  </cols>
  <sheetData>
    <row r="1" customFormat="false" ht="39.75" hidden="false" customHeight="true" outlineLevel="0" collapsed="false">
      <c r="A1" s="127" t="s">
        <v>181</v>
      </c>
    </row>
    <row r="2" customFormat="false" ht="21.75" hidden="false" customHeight="true" outlineLevel="0" collapsed="false">
      <c r="A2" s="128" t="s">
        <v>182</v>
      </c>
    </row>
    <row r="3" customFormat="false" ht="7.5" hidden="false" customHeight="true" outlineLevel="0" collapsed="false"/>
    <row r="4" customFormat="false" ht="15.75" hidden="false" customHeight="true" outlineLevel="0" collapsed="false">
      <c r="A4" s="129" t="s">
        <v>183</v>
      </c>
      <c r="B4" s="129"/>
      <c r="C4" s="129"/>
      <c r="D4" s="130" t="s">
        <v>184</v>
      </c>
      <c r="E4" s="130"/>
      <c r="F4" s="130"/>
      <c r="G4" s="131" t="s">
        <v>185</v>
      </c>
      <c r="H4" s="131"/>
      <c r="I4" s="131"/>
      <c r="J4" s="132" t="s">
        <v>186</v>
      </c>
      <c r="K4" s="132"/>
      <c r="L4" s="132"/>
      <c r="M4" s="132"/>
    </row>
    <row r="5" customFormat="false" ht="36" hidden="false" customHeight="true" outlineLevel="0" collapsed="false">
      <c r="A5" s="133" t="n">
        <v>5000000</v>
      </c>
      <c r="B5" s="133"/>
      <c r="C5" s="133"/>
      <c r="D5" s="134" t="n">
        <v>643640</v>
      </c>
      <c r="E5" s="134"/>
      <c r="F5" s="134"/>
      <c r="G5" s="135" t="n">
        <v>5</v>
      </c>
      <c r="H5" s="135"/>
      <c r="I5" s="135"/>
      <c r="J5" s="136" t="n">
        <v>0.88</v>
      </c>
      <c r="K5" s="136"/>
      <c r="L5" s="136"/>
      <c r="M5" s="136"/>
    </row>
    <row r="6" customFormat="false" ht="7.5" hidden="false" customHeight="true" outlineLevel="0" collapsed="false">
      <c r="B6" s="123"/>
      <c r="C6" s="137"/>
      <c r="D6" s="138"/>
      <c r="E6" s="137"/>
      <c r="F6" s="124"/>
      <c r="J6" s="123"/>
    </row>
    <row r="7" customFormat="false" ht="19.5" hidden="false" customHeight="true" outlineLevel="0" collapsed="false">
      <c r="A7" s="6" t="s">
        <v>187</v>
      </c>
      <c r="B7" s="6"/>
      <c r="C7" s="6"/>
      <c r="D7" s="6"/>
      <c r="E7" s="6"/>
      <c r="F7" s="6"/>
      <c r="G7" s="6"/>
      <c r="J7" s="123"/>
    </row>
    <row r="8" customFormat="false" ht="18" hidden="false" customHeight="true" outlineLevel="0" collapsed="false">
      <c r="A8" s="17" t="s">
        <v>104</v>
      </c>
      <c r="B8" s="139" t="s">
        <v>88</v>
      </c>
      <c r="C8" s="140" t="s">
        <v>89</v>
      </c>
      <c r="D8" s="141" t="s">
        <v>188</v>
      </c>
      <c r="E8" s="140" t="s">
        <v>117</v>
      </c>
      <c r="F8" s="142" t="s">
        <v>122</v>
      </c>
      <c r="G8" s="17" t="s">
        <v>93</v>
      </c>
      <c r="I8" s="17" t="s">
        <v>189</v>
      </c>
      <c r="J8" s="139" t="s">
        <v>43</v>
      </c>
    </row>
    <row r="9" customFormat="false" ht="18" hidden="false" customHeight="true" outlineLevel="0" collapsed="false">
      <c r="A9" s="19" t="s">
        <v>51</v>
      </c>
      <c r="B9" s="143" t="n">
        <v>-68999</v>
      </c>
      <c r="C9" s="144" t="n">
        <v>0.0801</v>
      </c>
      <c r="D9" s="145" t="n">
        <v>4.1</v>
      </c>
      <c r="E9" s="144" t="n">
        <v>0.2917</v>
      </c>
      <c r="F9" s="146" t="n">
        <v>7.875</v>
      </c>
      <c r="G9" s="21" t="s">
        <v>94</v>
      </c>
      <c r="I9" s="19" t="s">
        <v>54</v>
      </c>
      <c r="J9" s="147" t="n">
        <v>800000</v>
      </c>
    </row>
    <row r="10" customFormat="false" ht="18" hidden="false" customHeight="true" outlineLevel="0" collapsed="false">
      <c r="A10" s="23" t="s">
        <v>54</v>
      </c>
      <c r="B10" s="148" t="n">
        <v>74789</v>
      </c>
      <c r="C10" s="149" t="n">
        <v>0.1321</v>
      </c>
      <c r="D10" s="150" t="n">
        <v>3.6</v>
      </c>
      <c r="E10" s="149" t="n">
        <v>0.4875</v>
      </c>
      <c r="F10" s="151" t="n">
        <v>5.375</v>
      </c>
      <c r="G10" s="26" t="s">
        <v>95</v>
      </c>
      <c r="I10" s="23" t="s">
        <v>59</v>
      </c>
      <c r="J10" s="152" t="n">
        <v>1000000</v>
      </c>
    </row>
    <row r="11" customFormat="false" ht="18" hidden="false" customHeight="true" outlineLevel="0" collapsed="false">
      <c r="A11" s="19" t="s">
        <v>57</v>
      </c>
      <c r="B11" s="153" t="n">
        <v>72210</v>
      </c>
      <c r="C11" s="144" t="n">
        <v>0.1402</v>
      </c>
      <c r="D11" s="145" t="n">
        <v>3.3</v>
      </c>
      <c r="E11" s="144" t="n">
        <v>0.5333</v>
      </c>
      <c r="F11" s="146" t="n">
        <v>4.25</v>
      </c>
      <c r="G11" s="26" t="s">
        <v>95</v>
      </c>
      <c r="I11" s="19" t="s">
        <v>61</v>
      </c>
      <c r="J11" s="147" t="n">
        <v>700000</v>
      </c>
    </row>
    <row r="12" customFormat="false" ht="18" hidden="false" customHeight="true" outlineLevel="0" collapsed="false">
      <c r="A12" s="23" t="s">
        <v>59</v>
      </c>
      <c r="B12" s="154" t="n">
        <v>-80609</v>
      </c>
      <c r="C12" s="149" t="n">
        <v>0.0745</v>
      </c>
      <c r="D12" s="150" t="n">
        <v>4.8</v>
      </c>
      <c r="E12" s="149" t="n">
        <v>0.3</v>
      </c>
      <c r="F12" s="151" t="n">
        <v>7.875</v>
      </c>
      <c r="G12" s="21" t="s">
        <v>94</v>
      </c>
      <c r="I12" s="23" t="s">
        <v>64</v>
      </c>
      <c r="J12" s="152" t="n">
        <v>400000</v>
      </c>
    </row>
    <row r="13" customFormat="false" ht="18" hidden="false" customHeight="true" outlineLevel="0" collapsed="false">
      <c r="A13" s="19" t="s">
        <v>61</v>
      </c>
      <c r="B13" s="153" t="n">
        <v>55224</v>
      </c>
      <c r="C13" s="144" t="n">
        <v>0.1279</v>
      </c>
      <c r="D13" s="145" t="n">
        <v>3.8</v>
      </c>
      <c r="E13" s="144" t="n">
        <v>0.4571</v>
      </c>
      <c r="F13" s="146" t="n">
        <v>4.375</v>
      </c>
      <c r="G13" s="26" t="s">
        <v>95</v>
      </c>
      <c r="I13" s="19" t="s">
        <v>67</v>
      </c>
      <c r="J13" s="147" t="n">
        <v>1500000</v>
      </c>
    </row>
    <row r="14" customFormat="false" ht="18" hidden="false" customHeight="true" outlineLevel="0" collapsed="false">
      <c r="A14" s="23" t="s">
        <v>64</v>
      </c>
      <c r="B14" s="148" t="n">
        <v>127776</v>
      </c>
      <c r="C14" s="149" t="n">
        <v>0.2035</v>
      </c>
      <c r="D14" s="150" t="n">
        <v>2.8</v>
      </c>
      <c r="E14" s="149" t="n">
        <v>0.8</v>
      </c>
      <c r="F14" s="151" t="n">
        <v>1.75</v>
      </c>
      <c r="G14" s="26" t="s">
        <v>95</v>
      </c>
    </row>
    <row r="15" customFormat="false" ht="18" hidden="false" customHeight="true" outlineLevel="0" collapsed="false">
      <c r="A15" s="19" t="s">
        <v>66</v>
      </c>
      <c r="B15" s="153" t="n">
        <v>111297</v>
      </c>
      <c r="C15" s="144" t="n">
        <v>0.1731</v>
      </c>
      <c r="D15" s="145" t="n">
        <v>3.1</v>
      </c>
      <c r="E15" s="144" t="n">
        <v>0.67</v>
      </c>
      <c r="F15" s="146" t="n">
        <v>3.5</v>
      </c>
      <c r="G15" s="26" t="s">
        <v>95</v>
      </c>
    </row>
    <row r="16" customFormat="false" ht="18" hidden="false" customHeight="true" outlineLevel="0" collapsed="false">
      <c r="A16" s="23" t="s">
        <v>67</v>
      </c>
      <c r="B16" s="154" t="n">
        <v>-73469</v>
      </c>
      <c r="C16" s="149" t="n">
        <v>0.0847</v>
      </c>
      <c r="D16" s="150" t="n">
        <v>5.2</v>
      </c>
      <c r="E16" s="149" t="n">
        <v>0.3467</v>
      </c>
      <c r="F16" s="151" t="n">
        <v>10</v>
      </c>
      <c r="G16" s="21" t="s">
        <v>94</v>
      </c>
    </row>
  </sheetData>
  <mergeCells count="9">
    <mergeCell ref="A4:C4"/>
    <mergeCell ref="D4:F4"/>
    <mergeCell ref="G4:I4"/>
    <mergeCell ref="J4:M4"/>
    <mergeCell ref="A5:C5"/>
    <mergeCell ref="D5:F5"/>
    <mergeCell ref="G5:I5"/>
    <mergeCell ref="J5:M5"/>
    <mergeCell ref="A7:G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2026-06-08T16:43:48Z</dcterms:created>
  <dc:creator>openpyxl</dc:creator>
  <dc:description/>
  <dc:language>en-US</dc:language>
  <cp:lastModifiedBy/>
  <dcterms:modified xsi:type="dcterms:W3CDTF">2026-06-09T12:19:23Z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